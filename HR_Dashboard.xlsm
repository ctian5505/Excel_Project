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Christian\Desktop\Hr_Dashboard_Excel\"/>
    </mc:Choice>
  </mc:AlternateContent>
  <xr:revisionPtr revIDLastSave="0" documentId="13_ncr:1_{84576E99-5DA8-401D-99A5-11DB500D5482}" xr6:coauthVersionLast="47" xr6:coauthVersionMax="47" xr10:uidLastSave="{00000000-0000-0000-0000-000000000000}"/>
  <workbookProtection workbookAlgorithmName="SHA-512" workbookHashValue="ha3iuCYFfSG2+iKYQ3vKWCw7ePcblVbvsekilsYyh4oRu5PB1D8wnODWCjz1uGCLpuD6I2SBOv5fZpwAQeD6Og==" workbookSaltValue="D6HrKJ+dc+srnTgOIK7Tsg==" workbookSpinCount="100000" lockStructure="1"/>
  <bookViews>
    <workbookView xWindow="-108" yWindow="-108" windowWidth="23256" windowHeight="12456" xr2:uid="{00000000-000D-0000-FFFF-FFFF00000000}"/>
  </bookViews>
  <sheets>
    <sheet name="Dashboard" sheetId="7" r:id="rId1"/>
    <sheet name="Analysis" sheetId="8" state="hidden" r:id="rId2"/>
    <sheet name="HR Data" sheetId="1" state="hidden" r:id="rId3"/>
    <sheet name="Position" sheetId="4" state="hidden" r:id="rId4"/>
    <sheet name="Department" sheetId="5" state="hidden" r:id="rId5"/>
    <sheet name="Manager" sheetId="6" state="hidden" r:id="rId6"/>
    <sheet name="Source" sheetId="2" state="hidden" r:id="rId7"/>
  </sheets>
  <definedNames>
    <definedName name="_xlnm._FilterDatabase" localSheetId="1" hidden="1">Analysis!#REF!</definedName>
    <definedName name="_xlnm._FilterDatabase" localSheetId="2" hidden="1">'HR Data'!$A$1:$W$312</definedName>
    <definedName name="_xlcn.WorksheetConnection_T9A2C161" hidden="1">#REF!</definedName>
    <definedName name="Slicer_Date_of_Hire_Year">#N/A</definedName>
    <definedName name="Slicer_Department">#N/A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0" i="8" l="1"/>
  <c r="S10" i="8"/>
  <c r="AP16" i="8"/>
  <c r="I8" i="8"/>
  <c r="L8" i="8"/>
  <c r="AE2"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D2" i="1"/>
  <c r="AD3" i="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S11" i="8"/>
  <c r="AS13" i="8" l="1"/>
  <c r="AA2" i="1"/>
  <c r="AB2" i="1" s="1"/>
  <c r="AA44" i="1"/>
  <c r="AB44" i="1" s="1"/>
  <c r="AC312" i="1"/>
  <c r="AC311" i="1"/>
  <c r="AC310" i="1"/>
  <c r="AC309" i="1"/>
  <c r="AC308" i="1"/>
  <c r="AC307" i="1"/>
  <c r="AC306" i="1"/>
  <c r="AC305" i="1"/>
  <c r="AC304" i="1"/>
  <c r="AC303" i="1"/>
  <c r="AC302" i="1"/>
  <c r="AC301" i="1"/>
  <c r="AC300" i="1"/>
  <c r="AC299" i="1"/>
  <c r="AC298" i="1"/>
  <c r="AC297" i="1"/>
  <c r="AC296" i="1"/>
  <c r="AC295" i="1"/>
  <c r="AC294" i="1"/>
  <c r="AC293" i="1"/>
  <c r="AC292" i="1"/>
  <c r="AC291" i="1"/>
  <c r="AC290" i="1"/>
  <c r="AC289" i="1"/>
  <c r="AC288" i="1"/>
  <c r="AC287" i="1"/>
  <c r="AC286" i="1"/>
  <c r="AC285" i="1"/>
  <c r="AC284" i="1"/>
  <c r="AC283" i="1"/>
  <c r="AC282" i="1"/>
  <c r="AC281" i="1"/>
  <c r="AC280" i="1"/>
  <c r="AC279" i="1"/>
  <c r="AC278" i="1"/>
  <c r="AC277" i="1"/>
  <c r="AC276" i="1"/>
  <c r="AC275" i="1"/>
  <c r="AC274" i="1"/>
  <c r="AC273" i="1"/>
  <c r="AC272" i="1"/>
  <c r="AC271" i="1"/>
  <c r="AC270" i="1"/>
  <c r="AC269" i="1"/>
  <c r="AC268" i="1"/>
  <c r="AC267" i="1"/>
  <c r="AC266" i="1"/>
  <c r="AC265" i="1"/>
  <c r="AC264" i="1"/>
  <c r="AC26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C119" i="1"/>
  <c r="AC118" i="1"/>
  <c r="AC117" i="1"/>
  <c r="AC116"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AC4" i="1"/>
  <c r="AC3" i="1"/>
  <c r="AC2" i="1"/>
  <c r="AA3" i="1"/>
  <c r="AB3" i="1" s="1"/>
  <c r="AA4" i="1"/>
  <c r="AB4" i="1" s="1"/>
  <c r="AA5" i="1"/>
  <c r="AB5" i="1" s="1"/>
  <c r="AA6" i="1"/>
  <c r="AB6" i="1" s="1"/>
  <c r="AA7" i="1"/>
  <c r="AB7" i="1" s="1"/>
  <c r="AA8" i="1"/>
  <c r="AB8" i="1" s="1"/>
  <c r="AA9" i="1"/>
  <c r="AB9" i="1" s="1"/>
  <c r="AA10" i="1"/>
  <c r="AB10" i="1" s="1"/>
  <c r="AA11" i="1"/>
  <c r="AB11" i="1" s="1"/>
  <c r="AA12" i="1"/>
  <c r="AB12" i="1" s="1"/>
  <c r="AA13" i="1"/>
  <c r="AB13" i="1" s="1"/>
  <c r="AA14" i="1"/>
  <c r="AB14" i="1" s="1"/>
  <c r="AA15" i="1"/>
  <c r="AB15" i="1" s="1"/>
  <c r="AA16" i="1"/>
  <c r="AB16" i="1" s="1"/>
  <c r="AA17" i="1"/>
  <c r="AB17" i="1" s="1"/>
  <c r="AA18" i="1"/>
  <c r="AB18" i="1" s="1"/>
  <c r="AA19" i="1"/>
  <c r="AB19" i="1" s="1"/>
  <c r="AA20" i="1"/>
  <c r="AB20" i="1" s="1"/>
  <c r="AA21" i="1"/>
  <c r="AB21" i="1" s="1"/>
  <c r="AA22" i="1"/>
  <c r="AB22" i="1" s="1"/>
  <c r="AA23" i="1"/>
  <c r="AB23" i="1" s="1"/>
  <c r="AA24" i="1"/>
  <c r="AB24" i="1" s="1"/>
  <c r="AA25" i="1"/>
  <c r="AB25" i="1" s="1"/>
  <c r="AA26" i="1"/>
  <c r="AB26" i="1" s="1"/>
  <c r="AA27" i="1"/>
  <c r="AB27" i="1" s="1"/>
  <c r="AA28" i="1"/>
  <c r="AB28" i="1" s="1"/>
  <c r="AA29" i="1"/>
  <c r="AB29" i="1" s="1"/>
  <c r="AA30" i="1"/>
  <c r="AB30" i="1" s="1"/>
  <c r="AA31" i="1"/>
  <c r="AB31" i="1" s="1"/>
  <c r="AA32" i="1"/>
  <c r="AB32" i="1" s="1"/>
  <c r="AA33" i="1"/>
  <c r="AB33" i="1" s="1"/>
  <c r="AA34" i="1"/>
  <c r="AB34" i="1" s="1"/>
  <c r="AA35" i="1"/>
  <c r="AB35" i="1" s="1"/>
  <c r="AA36" i="1"/>
  <c r="AB36" i="1" s="1"/>
  <c r="AA37" i="1"/>
  <c r="AB37" i="1" s="1"/>
  <c r="AA38" i="1"/>
  <c r="AB38" i="1" s="1"/>
  <c r="AA39" i="1"/>
  <c r="AB39" i="1" s="1"/>
  <c r="AA40" i="1"/>
  <c r="AB40" i="1" s="1"/>
  <c r="AA41" i="1"/>
  <c r="AB41" i="1" s="1"/>
  <c r="AA42" i="1"/>
  <c r="AB42" i="1" s="1"/>
  <c r="AA43" i="1"/>
  <c r="AB43" i="1" s="1"/>
  <c r="AA45" i="1"/>
  <c r="AB45" i="1" s="1"/>
  <c r="AA46" i="1"/>
  <c r="AB46" i="1" s="1"/>
  <c r="AA47" i="1"/>
  <c r="AB47" i="1" s="1"/>
  <c r="AA48" i="1"/>
  <c r="AB48" i="1" s="1"/>
  <c r="AA49" i="1"/>
  <c r="AB49" i="1" s="1"/>
  <c r="AA50" i="1"/>
  <c r="AB50" i="1" s="1"/>
  <c r="AA51" i="1"/>
  <c r="AB51" i="1" s="1"/>
  <c r="AA52" i="1"/>
  <c r="AB52" i="1" s="1"/>
  <c r="AA53" i="1"/>
  <c r="AB53" i="1" s="1"/>
  <c r="AA54" i="1"/>
  <c r="AB54" i="1" s="1"/>
  <c r="AA55" i="1"/>
  <c r="AB55" i="1" s="1"/>
  <c r="AA56" i="1"/>
  <c r="AB56" i="1" s="1"/>
  <c r="AA57" i="1"/>
  <c r="AB57" i="1" s="1"/>
  <c r="AA58" i="1"/>
  <c r="AB58" i="1" s="1"/>
  <c r="AA59" i="1"/>
  <c r="AB59" i="1" s="1"/>
  <c r="AA60" i="1"/>
  <c r="AB60" i="1" s="1"/>
  <c r="AA61" i="1"/>
  <c r="AB61" i="1" s="1"/>
  <c r="AA62" i="1"/>
  <c r="AB62" i="1" s="1"/>
  <c r="AA63" i="1"/>
  <c r="AB63" i="1" s="1"/>
  <c r="AA64" i="1"/>
  <c r="AB64" i="1" s="1"/>
  <c r="AA65" i="1"/>
  <c r="AB65" i="1" s="1"/>
  <c r="AA66" i="1"/>
  <c r="AB66" i="1" s="1"/>
  <c r="AA67" i="1"/>
  <c r="AB67" i="1" s="1"/>
  <c r="AA68" i="1"/>
  <c r="AB68" i="1" s="1"/>
  <c r="AA69" i="1"/>
  <c r="AB69" i="1" s="1"/>
  <c r="AA70" i="1"/>
  <c r="AB70" i="1" s="1"/>
  <c r="AA71" i="1"/>
  <c r="AB71" i="1" s="1"/>
  <c r="AA72" i="1"/>
  <c r="AB72" i="1" s="1"/>
  <c r="AA73" i="1"/>
  <c r="AB73" i="1" s="1"/>
  <c r="AA74" i="1"/>
  <c r="AB74" i="1" s="1"/>
  <c r="AA75" i="1"/>
  <c r="AB75" i="1" s="1"/>
  <c r="AA76" i="1"/>
  <c r="AB76" i="1" s="1"/>
  <c r="AA77" i="1"/>
  <c r="AB77" i="1" s="1"/>
  <c r="AA78" i="1"/>
  <c r="AB78" i="1" s="1"/>
  <c r="AA79" i="1"/>
  <c r="AB79" i="1" s="1"/>
  <c r="AA80" i="1"/>
  <c r="AB80" i="1" s="1"/>
  <c r="AA81" i="1"/>
  <c r="AB81" i="1" s="1"/>
  <c r="AA82" i="1"/>
  <c r="AB82" i="1" s="1"/>
  <c r="AA83" i="1"/>
  <c r="AB83" i="1" s="1"/>
  <c r="AA84" i="1"/>
  <c r="AB84" i="1" s="1"/>
  <c r="AA85" i="1"/>
  <c r="AB85" i="1" s="1"/>
  <c r="AA86" i="1"/>
  <c r="AB86" i="1" s="1"/>
  <c r="AA87" i="1"/>
  <c r="AB87" i="1" s="1"/>
  <c r="AA88" i="1"/>
  <c r="AB88" i="1" s="1"/>
  <c r="AA89" i="1"/>
  <c r="AB89" i="1" s="1"/>
  <c r="AA90" i="1"/>
  <c r="AB90" i="1" s="1"/>
  <c r="AA91" i="1"/>
  <c r="AB91" i="1" s="1"/>
  <c r="AA92" i="1"/>
  <c r="AB92" i="1" s="1"/>
  <c r="AA93" i="1"/>
  <c r="AB93" i="1" s="1"/>
  <c r="AA94" i="1"/>
  <c r="AB94" i="1" s="1"/>
  <c r="AA95" i="1"/>
  <c r="AB95" i="1" s="1"/>
  <c r="AA96" i="1"/>
  <c r="AB96" i="1" s="1"/>
  <c r="AA97" i="1"/>
  <c r="AB97" i="1" s="1"/>
  <c r="AA98" i="1"/>
  <c r="AB98" i="1" s="1"/>
  <c r="AA99" i="1"/>
  <c r="AB99" i="1" s="1"/>
  <c r="AA100" i="1"/>
  <c r="AB100" i="1" s="1"/>
  <c r="AA101" i="1"/>
  <c r="AB101" i="1" s="1"/>
  <c r="AA102" i="1"/>
  <c r="AB102" i="1" s="1"/>
  <c r="AA103" i="1"/>
  <c r="AB103" i="1" s="1"/>
  <c r="AA104" i="1"/>
  <c r="AB104" i="1" s="1"/>
  <c r="AA105" i="1"/>
  <c r="AB105" i="1" s="1"/>
  <c r="AA106" i="1"/>
  <c r="AB106" i="1" s="1"/>
  <c r="AA107" i="1"/>
  <c r="AB107" i="1" s="1"/>
  <c r="AA108" i="1"/>
  <c r="AB108" i="1" s="1"/>
  <c r="AA109" i="1"/>
  <c r="AB109" i="1" s="1"/>
  <c r="AA110" i="1"/>
  <c r="AB110" i="1" s="1"/>
  <c r="AA111" i="1"/>
  <c r="AB111" i="1" s="1"/>
  <c r="AA112" i="1"/>
  <c r="AB112" i="1" s="1"/>
  <c r="AA113" i="1"/>
  <c r="AB113" i="1" s="1"/>
  <c r="AA114" i="1"/>
  <c r="AB114" i="1" s="1"/>
  <c r="AA115" i="1"/>
  <c r="AB115" i="1" s="1"/>
  <c r="AA116" i="1"/>
  <c r="AB116" i="1" s="1"/>
  <c r="AA117" i="1"/>
  <c r="AB117" i="1" s="1"/>
  <c r="AA118" i="1"/>
  <c r="AB118" i="1" s="1"/>
  <c r="AA119" i="1"/>
  <c r="AB119" i="1" s="1"/>
  <c r="AA120" i="1"/>
  <c r="AB120" i="1" s="1"/>
  <c r="AA121" i="1"/>
  <c r="AB121" i="1" s="1"/>
  <c r="AA122" i="1"/>
  <c r="AB122" i="1" s="1"/>
  <c r="AA123" i="1"/>
  <c r="AB123" i="1" s="1"/>
  <c r="AA124" i="1"/>
  <c r="AB124" i="1" s="1"/>
  <c r="AA125" i="1"/>
  <c r="AB125" i="1" s="1"/>
  <c r="AA126" i="1"/>
  <c r="AB126" i="1" s="1"/>
  <c r="AA127" i="1"/>
  <c r="AB127" i="1" s="1"/>
  <c r="AA128" i="1"/>
  <c r="AB128" i="1" s="1"/>
  <c r="AA129" i="1"/>
  <c r="AB129" i="1" s="1"/>
  <c r="AA130" i="1"/>
  <c r="AB130" i="1" s="1"/>
  <c r="AA131" i="1"/>
  <c r="AB131" i="1" s="1"/>
  <c r="AA132" i="1"/>
  <c r="AB132" i="1" s="1"/>
  <c r="AA133" i="1"/>
  <c r="AB133" i="1" s="1"/>
  <c r="AA134" i="1"/>
  <c r="AB134" i="1" s="1"/>
  <c r="AA135" i="1"/>
  <c r="AB135" i="1" s="1"/>
  <c r="AA136" i="1"/>
  <c r="AB136" i="1" s="1"/>
  <c r="AA137" i="1"/>
  <c r="AB137" i="1" s="1"/>
  <c r="AA138" i="1"/>
  <c r="AB138" i="1" s="1"/>
  <c r="AA139" i="1"/>
  <c r="AB139" i="1" s="1"/>
  <c r="AA140" i="1"/>
  <c r="AB140" i="1" s="1"/>
  <c r="AA141" i="1"/>
  <c r="AB141" i="1" s="1"/>
  <c r="AA142" i="1"/>
  <c r="AB142" i="1" s="1"/>
  <c r="AA143" i="1"/>
  <c r="AB143" i="1" s="1"/>
  <c r="AA144" i="1"/>
  <c r="AB144" i="1" s="1"/>
  <c r="AA145" i="1"/>
  <c r="AB145" i="1" s="1"/>
  <c r="AA146" i="1"/>
  <c r="AB146" i="1" s="1"/>
  <c r="AA147" i="1"/>
  <c r="AB147" i="1" s="1"/>
  <c r="AA148" i="1"/>
  <c r="AB148" i="1" s="1"/>
  <c r="AA149" i="1"/>
  <c r="AB149" i="1" s="1"/>
  <c r="AA150" i="1"/>
  <c r="AB150" i="1" s="1"/>
  <c r="AA151" i="1"/>
  <c r="AB151" i="1" s="1"/>
  <c r="AA152" i="1"/>
  <c r="AB152" i="1" s="1"/>
  <c r="AA153" i="1"/>
  <c r="AB153" i="1" s="1"/>
  <c r="AA154" i="1"/>
  <c r="AB154" i="1" s="1"/>
  <c r="AA155" i="1"/>
  <c r="AB155" i="1" s="1"/>
  <c r="AA156" i="1"/>
  <c r="AB156" i="1" s="1"/>
  <c r="AA157" i="1"/>
  <c r="AB157" i="1" s="1"/>
  <c r="AA158" i="1"/>
  <c r="AB158" i="1" s="1"/>
  <c r="AA159" i="1"/>
  <c r="AB159" i="1" s="1"/>
  <c r="AA160" i="1"/>
  <c r="AB160" i="1" s="1"/>
  <c r="AA161" i="1"/>
  <c r="AB161" i="1" s="1"/>
  <c r="AA162" i="1"/>
  <c r="AB162" i="1" s="1"/>
  <c r="AA163" i="1"/>
  <c r="AB163" i="1" s="1"/>
  <c r="AA164" i="1"/>
  <c r="AB164" i="1" s="1"/>
  <c r="AA165" i="1"/>
  <c r="AB165" i="1" s="1"/>
  <c r="AA166" i="1"/>
  <c r="AB166" i="1" s="1"/>
  <c r="AA167" i="1"/>
  <c r="AB167" i="1" s="1"/>
  <c r="AA168" i="1"/>
  <c r="AB168" i="1" s="1"/>
  <c r="AA169" i="1"/>
  <c r="AB169" i="1" s="1"/>
  <c r="AA170" i="1"/>
  <c r="AB170" i="1" s="1"/>
  <c r="AA171" i="1"/>
  <c r="AB171" i="1" s="1"/>
  <c r="AA172" i="1"/>
  <c r="AB172" i="1" s="1"/>
  <c r="AA173" i="1"/>
  <c r="AB173" i="1" s="1"/>
  <c r="AA174" i="1"/>
  <c r="AB174" i="1" s="1"/>
  <c r="AA175" i="1"/>
  <c r="AB175" i="1" s="1"/>
  <c r="AA176" i="1"/>
  <c r="AB176" i="1" s="1"/>
  <c r="AA177" i="1"/>
  <c r="AB177" i="1" s="1"/>
  <c r="AA178" i="1"/>
  <c r="AB178" i="1" s="1"/>
  <c r="AA179" i="1"/>
  <c r="AB179" i="1" s="1"/>
  <c r="AA180" i="1"/>
  <c r="AB180" i="1" s="1"/>
  <c r="AA181" i="1"/>
  <c r="AB181" i="1" s="1"/>
  <c r="AA182" i="1"/>
  <c r="AB182" i="1" s="1"/>
  <c r="AA183" i="1"/>
  <c r="AB183" i="1" s="1"/>
  <c r="AA184" i="1"/>
  <c r="AB184" i="1" s="1"/>
  <c r="AA185" i="1"/>
  <c r="AB185" i="1" s="1"/>
  <c r="AA186" i="1"/>
  <c r="AB186" i="1" s="1"/>
  <c r="AA187" i="1"/>
  <c r="AB187" i="1" s="1"/>
  <c r="AA188" i="1"/>
  <c r="AB188" i="1" s="1"/>
  <c r="AA189" i="1"/>
  <c r="AB189" i="1" s="1"/>
  <c r="AA190" i="1"/>
  <c r="AB190" i="1" s="1"/>
  <c r="AA191" i="1"/>
  <c r="AB191" i="1" s="1"/>
  <c r="AA192" i="1"/>
  <c r="AB192" i="1" s="1"/>
  <c r="AA193" i="1"/>
  <c r="AB193" i="1" s="1"/>
  <c r="AA194" i="1"/>
  <c r="AB194" i="1" s="1"/>
  <c r="AA195" i="1"/>
  <c r="AB195" i="1" s="1"/>
  <c r="AA196" i="1"/>
  <c r="AB196" i="1" s="1"/>
  <c r="AA197" i="1"/>
  <c r="AB197" i="1" s="1"/>
  <c r="AA198" i="1"/>
  <c r="AB198" i="1" s="1"/>
  <c r="AA199" i="1"/>
  <c r="AB199" i="1" s="1"/>
  <c r="AA200" i="1"/>
  <c r="AB200" i="1" s="1"/>
  <c r="AA201" i="1"/>
  <c r="AB201" i="1" s="1"/>
  <c r="AA202" i="1"/>
  <c r="AB202" i="1" s="1"/>
  <c r="AA203" i="1"/>
  <c r="AB203" i="1" s="1"/>
  <c r="AA204" i="1"/>
  <c r="AB204" i="1" s="1"/>
  <c r="AA205" i="1"/>
  <c r="AB205" i="1" s="1"/>
  <c r="AA206" i="1"/>
  <c r="AB206" i="1" s="1"/>
  <c r="AA207" i="1"/>
  <c r="AB207" i="1" s="1"/>
  <c r="AA208" i="1"/>
  <c r="AB208" i="1" s="1"/>
  <c r="AA209" i="1"/>
  <c r="AB209" i="1" s="1"/>
  <c r="AA210" i="1"/>
  <c r="AB210" i="1" s="1"/>
  <c r="AA211" i="1"/>
  <c r="AB211" i="1" s="1"/>
  <c r="AA212" i="1"/>
  <c r="AB212" i="1" s="1"/>
  <c r="AA213" i="1"/>
  <c r="AB213" i="1" s="1"/>
  <c r="AA214" i="1"/>
  <c r="AB214" i="1" s="1"/>
  <c r="AA215" i="1"/>
  <c r="AB215" i="1" s="1"/>
  <c r="AA216" i="1"/>
  <c r="AB216" i="1" s="1"/>
  <c r="AA217" i="1"/>
  <c r="AB217" i="1" s="1"/>
  <c r="AA218" i="1"/>
  <c r="AB218" i="1" s="1"/>
  <c r="AA219" i="1"/>
  <c r="AB219" i="1" s="1"/>
  <c r="AA220" i="1"/>
  <c r="AB220" i="1" s="1"/>
  <c r="AA221" i="1"/>
  <c r="AB221" i="1" s="1"/>
  <c r="AA222" i="1"/>
  <c r="AB222" i="1" s="1"/>
  <c r="AA223" i="1"/>
  <c r="AB223" i="1" s="1"/>
  <c r="AA224" i="1"/>
  <c r="AB224" i="1" s="1"/>
  <c r="AA225" i="1"/>
  <c r="AB225" i="1" s="1"/>
  <c r="AA226" i="1"/>
  <c r="AB226" i="1" s="1"/>
  <c r="AA227" i="1"/>
  <c r="AB227" i="1" s="1"/>
  <c r="AA228" i="1"/>
  <c r="AB228" i="1" s="1"/>
  <c r="AA229" i="1"/>
  <c r="AB229" i="1" s="1"/>
  <c r="AA230" i="1"/>
  <c r="AB230" i="1" s="1"/>
  <c r="AA231" i="1"/>
  <c r="AB231" i="1" s="1"/>
  <c r="AA232" i="1"/>
  <c r="AB232" i="1" s="1"/>
  <c r="AA233" i="1"/>
  <c r="AB233" i="1" s="1"/>
  <c r="AA234" i="1"/>
  <c r="AB234" i="1" s="1"/>
  <c r="AA235" i="1"/>
  <c r="AB235" i="1" s="1"/>
  <c r="AA236" i="1"/>
  <c r="AB236" i="1" s="1"/>
  <c r="AA237" i="1"/>
  <c r="AB237" i="1" s="1"/>
  <c r="AA238" i="1"/>
  <c r="AB238" i="1" s="1"/>
  <c r="AA239" i="1"/>
  <c r="AB239" i="1" s="1"/>
  <c r="AA240" i="1"/>
  <c r="AB240" i="1" s="1"/>
  <c r="AA241" i="1"/>
  <c r="AB241" i="1" s="1"/>
  <c r="AA242" i="1"/>
  <c r="AB242" i="1" s="1"/>
  <c r="AA243" i="1"/>
  <c r="AB243" i="1" s="1"/>
  <c r="AA244" i="1"/>
  <c r="AB244" i="1" s="1"/>
  <c r="AA245" i="1"/>
  <c r="AB245" i="1" s="1"/>
  <c r="AA246" i="1"/>
  <c r="AB246" i="1" s="1"/>
  <c r="AA247" i="1"/>
  <c r="AB247" i="1" s="1"/>
  <c r="AA248" i="1"/>
  <c r="AB248" i="1" s="1"/>
  <c r="AA249" i="1"/>
  <c r="AB249" i="1" s="1"/>
  <c r="AA250" i="1"/>
  <c r="AB250" i="1" s="1"/>
  <c r="AA251" i="1"/>
  <c r="AB251" i="1" s="1"/>
  <c r="AA252" i="1"/>
  <c r="AB252" i="1" s="1"/>
  <c r="AA253" i="1"/>
  <c r="AB253" i="1" s="1"/>
  <c r="AA254" i="1"/>
  <c r="AB254" i="1" s="1"/>
  <c r="AA255" i="1"/>
  <c r="AB255" i="1" s="1"/>
  <c r="AA256" i="1"/>
  <c r="AB256" i="1" s="1"/>
  <c r="AA257" i="1"/>
  <c r="AB257" i="1" s="1"/>
  <c r="AA258" i="1"/>
  <c r="AB258" i="1" s="1"/>
  <c r="AA259" i="1"/>
  <c r="AB259" i="1" s="1"/>
  <c r="AA260" i="1"/>
  <c r="AB260" i="1" s="1"/>
  <c r="AA261" i="1"/>
  <c r="AB261" i="1" s="1"/>
  <c r="AA262" i="1"/>
  <c r="AB262" i="1" s="1"/>
  <c r="AA263" i="1"/>
  <c r="AB263" i="1" s="1"/>
  <c r="AA264" i="1"/>
  <c r="AB264" i="1" s="1"/>
  <c r="AA265" i="1"/>
  <c r="AB265" i="1" s="1"/>
  <c r="AA266" i="1"/>
  <c r="AB266" i="1" s="1"/>
  <c r="AA267" i="1"/>
  <c r="AB267" i="1" s="1"/>
  <c r="AA268" i="1"/>
  <c r="AB268" i="1" s="1"/>
  <c r="AA269" i="1"/>
  <c r="AB269" i="1" s="1"/>
  <c r="AA270" i="1"/>
  <c r="AB270" i="1" s="1"/>
  <c r="AA271" i="1"/>
  <c r="AB271" i="1" s="1"/>
  <c r="AA272" i="1"/>
  <c r="AB272" i="1" s="1"/>
  <c r="AA273" i="1"/>
  <c r="AB273" i="1" s="1"/>
  <c r="AA274" i="1"/>
  <c r="AB274" i="1" s="1"/>
  <c r="AA275" i="1"/>
  <c r="AB275" i="1" s="1"/>
  <c r="AA276" i="1"/>
  <c r="AB276" i="1" s="1"/>
  <c r="AA277" i="1"/>
  <c r="AB277" i="1" s="1"/>
  <c r="AA278" i="1"/>
  <c r="AB278" i="1" s="1"/>
  <c r="AA279" i="1"/>
  <c r="AB279" i="1" s="1"/>
  <c r="AA280" i="1"/>
  <c r="AB280" i="1" s="1"/>
  <c r="AA281" i="1"/>
  <c r="AB281" i="1" s="1"/>
  <c r="AA282" i="1"/>
  <c r="AB282" i="1" s="1"/>
  <c r="AA283" i="1"/>
  <c r="AB283" i="1" s="1"/>
  <c r="AA284" i="1"/>
  <c r="AB284" i="1" s="1"/>
  <c r="AA285" i="1"/>
  <c r="AB285" i="1" s="1"/>
  <c r="AA286" i="1"/>
  <c r="AB286" i="1" s="1"/>
  <c r="AA287" i="1"/>
  <c r="AB287" i="1" s="1"/>
  <c r="AA288" i="1"/>
  <c r="AB288" i="1" s="1"/>
  <c r="AA289" i="1"/>
  <c r="AB289" i="1" s="1"/>
  <c r="AA290" i="1"/>
  <c r="AB290" i="1" s="1"/>
  <c r="AA291" i="1"/>
  <c r="AB291" i="1" s="1"/>
  <c r="AA292" i="1"/>
  <c r="AB292" i="1" s="1"/>
  <c r="AA293" i="1"/>
  <c r="AB293" i="1" s="1"/>
  <c r="AA294" i="1"/>
  <c r="AB294" i="1" s="1"/>
  <c r="AA295" i="1"/>
  <c r="AB295" i="1" s="1"/>
  <c r="AA296" i="1"/>
  <c r="AB296" i="1" s="1"/>
  <c r="AA297" i="1"/>
  <c r="AB297" i="1" s="1"/>
  <c r="AA298" i="1"/>
  <c r="AB298" i="1" s="1"/>
  <c r="AA299" i="1"/>
  <c r="AB299" i="1" s="1"/>
  <c r="AA300" i="1"/>
  <c r="AB300" i="1" s="1"/>
  <c r="AA301" i="1"/>
  <c r="AB301" i="1" s="1"/>
  <c r="AA302" i="1"/>
  <c r="AB302" i="1" s="1"/>
  <c r="AA303" i="1"/>
  <c r="AB303" i="1" s="1"/>
  <c r="AA304" i="1"/>
  <c r="AB304" i="1" s="1"/>
  <c r="AA305" i="1"/>
  <c r="AB305" i="1" s="1"/>
  <c r="AA306" i="1"/>
  <c r="AB306" i="1" s="1"/>
  <c r="AA307" i="1"/>
  <c r="AB307" i="1" s="1"/>
  <c r="AA308" i="1"/>
  <c r="AB308" i="1" s="1"/>
  <c r="AA309" i="1"/>
  <c r="AB309" i="1" s="1"/>
  <c r="AA310" i="1"/>
  <c r="AB310" i="1" s="1"/>
  <c r="AA311" i="1"/>
  <c r="AB311" i="1" s="1"/>
  <c r="AA312" i="1"/>
  <c r="AB312" i="1" s="1"/>
  <c r="X15"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X2" i="1"/>
  <c r="X3" i="1"/>
  <c r="X4" i="1"/>
  <c r="X5" i="1"/>
  <c r="X6" i="1"/>
  <c r="X7" i="1"/>
  <c r="X8" i="1"/>
  <c r="X9" i="1"/>
  <c r="X10" i="1"/>
  <c r="X11" i="1"/>
  <c r="X12" i="1"/>
  <c r="X13" i="1"/>
  <c r="X14"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alcChain>
</file>

<file path=xl/sharedStrings.xml><?xml version="1.0" encoding="utf-8"?>
<sst xmlns="http://schemas.openxmlformats.org/spreadsheetml/2006/main" count="4336" uniqueCount="567">
  <si>
    <t>EmpID</t>
  </si>
  <si>
    <t>Position</t>
  </si>
  <si>
    <t>State</t>
  </si>
  <si>
    <t>Zip</t>
  </si>
  <si>
    <t>DOB</t>
  </si>
  <si>
    <t>Sex</t>
  </si>
  <si>
    <t>MaritalDesc</t>
  </si>
  <si>
    <t>CitizenDesc</t>
  </si>
  <si>
    <t>RaceDesc</t>
  </si>
  <si>
    <t>DateofHire</t>
  </si>
  <si>
    <t>DateofTermination</t>
  </si>
  <si>
    <t>TermReason</t>
  </si>
  <si>
    <t>EmploymentStatus</t>
  </si>
  <si>
    <t>Department</t>
  </si>
  <si>
    <t>RecruitmentSource</t>
  </si>
  <si>
    <t>PerformanceScore</t>
  </si>
  <si>
    <t>EngagementSurvey</t>
  </si>
  <si>
    <t>EmpSatisfaction</t>
  </si>
  <si>
    <t>LastPerformanceReview_Date</t>
  </si>
  <si>
    <t>Absences</t>
  </si>
  <si>
    <t>Production Technician I</t>
  </si>
  <si>
    <t>MA</t>
  </si>
  <si>
    <t>Single</t>
  </si>
  <si>
    <t>US Citizen</t>
  </si>
  <si>
    <t>White</t>
  </si>
  <si>
    <t>Active</t>
  </si>
  <si>
    <t>Michael Albert</t>
  </si>
  <si>
    <t>LinkedIn</t>
  </si>
  <si>
    <t>Exceeds</t>
  </si>
  <si>
    <t xml:space="preserve">Ait Sidi, Karthikeyan   </t>
  </si>
  <si>
    <t>Sr. DBA</t>
  </si>
  <si>
    <t>Married</t>
  </si>
  <si>
    <t>Voluntarily Terminated</t>
  </si>
  <si>
    <t>IT/IS</t>
  </si>
  <si>
    <t>Simon Roup</t>
  </si>
  <si>
    <t>Indeed</t>
  </si>
  <si>
    <t>Fully Meets</t>
  </si>
  <si>
    <t>Akinkuolie, Sarah</t>
  </si>
  <si>
    <t>Production Technician II</t>
  </si>
  <si>
    <t>Kissy Sullivan</t>
  </si>
  <si>
    <t>Alagbe,Trina</t>
  </si>
  <si>
    <t>Elijiah Gray</t>
  </si>
  <si>
    <t xml:space="preserve">Anderson, Carol </t>
  </si>
  <si>
    <t>Divorced</t>
  </si>
  <si>
    <t>Webster Butler</t>
  </si>
  <si>
    <t>Google Search</t>
  </si>
  <si>
    <t xml:space="preserve">Anderson, Linda  </t>
  </si>
  <si>
    <t>Amy Dunn</t>
  </si>
  <si>
    <t>Andreola, Colby</t>
  </si>
  <si>
    <t>Software Engineer</t>
  </si>
  <si>
    <t>Software Engineering</t>
  </si>
  <si>
    <t>Alex Sweetwater</t>
  </si>
  <si>
    <t>Athwal, Sam</t>
  </si>
  <si>
    <t>Widowed</t>
  </si>
  <si>
    <t>Ketsia Liebig</t>
  </si>
  <si>
    <t>Employee Referral</t>
  </si>
  <si>
    <t>Bachiochi, Linda</t>
  </si>
  <si>
    <t>Black or African American</t>
  </si>
  <si>
    <t>Brannon Miller</t>
  </si>
  <si>
    <t>Diversity Job Fair</t>
  </si>
  <si>
    <t xml:space="preserve">Bacong, Alejandro </t>
  </si>
  <si>
    <t>IT Support</t>
  </si>
  <si>
    <t>Peter Monroe</t>
  </si>
  <si>
    <t xml:space="preserve">Baczenski, Rachael  </t>
  </si>
  <si>
    <t>David Stanley</t>
  </si>
  <si>
    <t>Barbara, Thomas</t>
  </si>
  <si>
    <t>Barbossa, Hector</t>
  </si>
  <si>
    <t>Data Analyst</t>
  </si>
  <si>
    <t>TX</t>
  </si>
  <si>
    <t>Barone, Francesco  A</t>
  </si>
  <si>
    <t>Two or more races</t>
  </si>
  <si>
    <t>Kelley Spirea</t>
  </si>
  <si>
    <t>Barton, Nader</t>
  </si>
  <si>
    <t>On-line Web application</t>
  </si>
  <si>
    <t>Bates, Norman</t>
  </si>
  <si>
    <t>Terminated for Cause</t>
  </si>
  <si>
    <t xml:space="preserve">Beak, Kimberly  </t>
  </si>
  <si>
    <t xml:space="preserve">Beatrice, Courtney </t>
  </si>
  <si>
    <t>Eligible NonCitizen</t>
  </si>
  <si>
    <t>Becker, Renee</t>
  </si>
  <si>
    <t>Database Administrator</t>
  </si>
  <si>
    <t>Becker, Scott</t>
  </si>
  <si>
    <t>Asian</t>
  </si>
  <si>
    <t>Bernstein, Sean</t>
  </si>
  <si>
    <t>Biden, Lowan  M</t>
  </si>
  <si>
    <t>Billis, Helen</t>
  </si>
  <si>
    <t>Blount, Dianna</t>
  </si>
  <si>
    <t>CareerBuilder</t>
  </si>
  <si>
    <t>Needs Improvement</t>
  </si>
  <si>
    <t>Bondwell, Betsy</t>
  </si>
  <si>
    <t>Booth, Frank</t>
  </si>
  <si>
    <t>Enterprise Architect</t>
  </si>
  <si>
    <t>CT</t>
  </si>
  <si>
    <t>Boutwell, Bonalyn</t>
  </si>
  <si>
    <t>Sr. Accountant</t>
  </si>
  <si>
    <t>Admin Offices</t>
  </si>
  <si>
    <t>Brandon R. LeBlanc</t>
  </si>
  <si>
    <t>Bozzi, Charles</t>
  </si>
  <si>
    <t>Production Manager</t>
  </si>
  <si>
    <t>Janet King</t>
  </si>
  <si>
    <t>Brill, Donna</t>
  </si>
  <si>
    <t>Brown, Mia</t>
  </si>
  <si>
    <t>Accountant I</t>
  </si>
  <si>
    <t xml:space="preserve">Buccheri, Joseph  </t>
  </si>
  <si>
    <t xml:space="preserve">Bugali, Josephine </t>
  </si>
  <si>
    <t>Separated</t>
  </si>
  <si>
    <t>Bunbury, Jessica</t>
  </si>
  <si>
    <t>Area Sales Manager</t>
  </si>
  <si>
    <t>VA</t>
  </si>
  <si>
    <t>Sales</t>
  </si>
  <si>
    <t>John Smith</t>
  </si>
  <si>
    <t>Burke, Joelle</t>
  </si>
  <si>
    <t xml:space="preserve">Burkett, Benjamin </t>
  </si>
  <si>
    <t xml:space="preserve">Cady, Max </t>
  </si>
  <si>
    <t>Software Engineering Manager</t>
  </si>
  <si>
    <t>Jennifer Zamora</t>
  </si>
  <si>
    <t>Candie, Calvin</t>
  </si>
  <si>
    <t>Carabbio, Judith</t>
  </si>
  <si>
    <t xml:space="preserve">Carey, Michael  </t>
  </si>
  <si>
    <t>Carr, Claudia  N</t>
  </si>
  <si>
    <t xml:space="preserve">Carter, Michelle </t>
  </si>
  <si>
    <t>VT</t>
  </si>
  <si>
    <t xml:space="preserve">Chace, Beatrice </t>
  </si>
  <si>
    <t>Champaigne, Brian</t>
  </si>
  <si>
    <t>BI Director</t>
  </si>
  <si>
    <t>Chan, Lin</t>
  </si>
  <si>
    <t>Chang, Donovan  E</t>
  </si>
  <si>
    <t>Chigurh, Anton</t>
  </si>
  <si>
    <t>Lynn Daneault</t>
  </si>
  <si>
    <t>Chivukula, Enola</t>
  </si>
  <si>
    <t xml:space="preserve">Cierpiszewski, Caroline  </t>
  </si>
  <si>
    <t>Non-Citizen</t>
  </si>
  <si>
    <t>Clayton, Rick</t>
  </si>
  <si>
    <t>Eric Dougall</t>
  </si>
  <si>
    <t>Cloninger, Jennifer</t>
  </si>
  <si>
    <t>Close, Phil</t>
  </si>
  <si>
    <t>Clukey, Elijian</t>
  </si>
  <si>
    <t>Cockel, James</t>
  </si>
  <si>
    <t>Cole, Spencer</t>
  </si>
  <si>
    <t>Corleone, Michael</t>
  </si>
  <si>
    <t>Corleone, Vito</t>
  </si>
  <si>
    <t>Director of Operations</t>
  </si>
  <si>
    <t xml:space="preserve">Cornett, Lisa </t>
  </si>
  <si>
    <t>Costello, Frank</t>
  </si>
  <si>
    <t>Crimmings,   Jean</t>
  </si>
  <si>
    <t>Cross, Noah</t>
  </si>
  <si>
    <t>Sr. Network Engineer</t>
  </si>
  <si>
    <t>Daneault, Lynn</t>
  </si>
  <si>
    <t>Sales Manager</t>
  </si>
  <si>
    <t>Debra Houlihan</t>
  </si>
  <si>
    <t xml:space="preserve">Daniele, Ann  </t>
  </si>
  <si>
    <t xml:space="preserve">Darson, Jene'ya </t>
  </si>
  <si>
    <t>Davis, Daniel</t>
  </si>
  <si>
    <t>Dee, Randy</t>
  </si>
  <si>
    <t>DeGweck,  James</t>
  </si>
  <si>
    <t>Del Bosque, Keyla</t>
  </si>
  <si>
    <t>Delarge, Alex</t>
  </si>
  <si>
    <t>AL</t>
  </si>
  <si>
    <t>PIP</t>
  </si>
  <si>
    <t>Demita, Carla</t>
  </si>
  <si>
    <t xml:space="preserve">Desimone, Carl </t>
  </si>
  <si>
    <t>DeVito, Tommy</t>
  </si>
  <si>
    <t>BI Developer</t>
  </si>
  <si>
    <t>Brian Champaigne</t>
  </si>
  <si>
    <t xml:space="preserve">Dickinson, Geoff </t>
  </si>
  <si>
    <t xml:space="preserve">Dietrich, Jenna  </t>
  </si>
  <si>
    <t>WA</t>
  </si>
  <si>
    <t>Website</t>
  </si>
  <si>
    <t xml:space="preserve">DiNocco, Lily </t>
  </si>
  <si>
    <t>Dobrin, Denisa  S</t>
  </si>
  <si>
    <t>Dolan, Linda</t>
  </si>
  <si>
    <t>Dougall, Eric</t>
  </si>
  <si>
    <t>IT Manager - Support</t>
  </si>
  <si>
    <t>Driver, Elle</t>
  </si>
  <si>
    <t>CA</t>
  </si>
  <si>
    <t xml:space="preserve">Dunn, Amy  </t>
  </si>
  <si>
    <t>Dunne, Amy</t>
  </si>
  <si>
    <t>Eaton, Marianne</t>
  </si>
  <si>
    <t>Engdahl, Jean</t>
  </si>
  <si>
    <t>England, Rex</t>
  </si>
  <si>
    <t>Erilus, Angela</t>
  </si>
  <si>
    <t>Estremera, Miguel</t>
  </si>
  <si>
    <t>Evensen, April</t>
  </si>
  <si>
    <t>Exantus, Susan</t>
  </si>
  <si>
    <t xml:space="preserve">Faller, Megan </t>
  </si>
  <si>
    <t>Fancett, Nicole</t>
  </si>
  <si>
    <t>Ferguson, Susan</t>
  </si>
  <si>
    <t xml:space="preserve">Fernandes, Nilson  </t>
  </si>
  <si>
    <t>Fett, Boba</t>
  </si>
  <si>
    <t>Network Engineer</t>
  </si>
  <si>
    <t>Fidelia,  Libby</t>
  </si>
  <si>
    <t>Fitzpatrick, Michael  J</t>
  </si>
  <si>
    <t>Foreman, Tanya</t>
  </si>
  <si>
    <t>Forrest, Alex</t>
  </si>
  <si>
    <t>Foss, Jason</t>
  </si>
  <si>
    <t>IT Director</t>
  </si>
  <si>
    <t>Foster-Baker, Amy</t>
  </si>
  <si>
    <t>Board of Directors</t>
  </si>
  <si>
    <t>Other</t>
  </si>
  <si>
    <t xml:space="preserve">Fraval, Maruk </t>
  </si>
  <si>
    <t>Galia, Lisa</t>
  </si>
  <si>
    <t>Garcia, Raul</t>
  </si>
  <si>
    <t>Gaul, Barbara</t>
  </si>
  <si>
    <t>Gentry, Mildred</t>
  </si>
  <si>
    <t>Gerke, Melisa</t>
  </si>
  <si>
    <t xml:space="preserve">Gill, Whitney  </t>
  </si>
  <si>
    <t>OH</t>
  </si>
  <si>
    <t>Gilles, Alex</t>
  </si>
  <si>
    <t>Girifalco, Evelyn</t>
  </si>
  <si>
    <t>Givens, Myriam</t>
  </si>
  <si>
    <t>IN</t>
  </si>
  <si>
    <t>Goble, Taisha</t>
  </si>
  <si>
    <t>Goeth, Amon</t>
  </si>
  <si>
    <t xml:space="preserve">Gold, Shenice  </t>
  </si>
  <si>
    <t>Gonzalez, Cayo</t>
  </si>
  <si>
    <t>Gonzalez, Juan</t>
  </si>
  <si>
    <t>Gonzalez, Maria</t>
  </si>
  <si>
    <t>Good, Susan</t>
  </si>
  <si>
    <t>Gordon, David</t>
  </si>
  <si>
    <t xml:space="preserve">Gosciminski, Phylicia  </t>
  </si>
  <si>
    <t>American Indian or Alaska Native</t>
  </si>
  <si>
    <t>Goyal, Roxana</t>
  </si>
  <si>
    <t xml:space="preserve">Gray, Elijiah  </t>
  </si>
  <si>
    <t>Gross, Paula</t>
  </si>
  <si>
    <t>Gruber, Hans</t>
  </si>
  <si>
    <t>Guilianno, Mike</t>
  </si>
  <si>
    <t>TN</t>
  </si>
  <si>
    <t>Handschiegl, Joanne</t>
  </si>
  <si>
    <t>Hankard, Earnest</t>
  </si>
  <si>
    <t xml:space="preserve">Harrington, Christie </t>
  </si>
  <si>
    <t>Harrison, Kara</t>
  </si>
  <si>
    <t>Heitzman, Anthony</t>
  </si>
  <si>
    <t>Hendrickson, Trina</t>
  </si>
  <si>
    <t>Hitchcock, Alfred</t>
  </si>
  <si>
    <t>NH</t>
  </si>
  <si>
    <t>Homberger, Adrienne  J</t>
  </si>
  <si>
    <t>Horton, Jayne</t>
  </si>
  <si>
    <t>Houlihan, Debra</t>
  </si>
  <si>
    <t>Director of Sales</t>
  </si>
  <si>
    <t>RI</t>
  </si>
  <si>
    <t>Howard, Estelle</t>
  </si>
  <si>
    <t>Administrative Assistant</t>
  </si>
  <si>
    <t>Hudson, Jane</t>
  </si>
  <si>
    <t>Hunts, Julissa</t>
  </si>
  <si>
    <t>Hutter, Rosalie</t>
  </si>
  <si>
    <t>Huynh, Ming</t>
  </si>
  <si>
    <t>Immediato, Walter</t>
  </si>
  <si>
    <t xml:space="preserve">Ivey, Rose </t>
  </si>
  <si>
    <t>Jackson, Maryellen</t>
  </si>
  <si>
    <t xml:space="preserve">Jacobi, Hannah  </t>
  </si>
  <si>
    <t>Jeannite, Tayana</t>
  </si>
  <si>
    <t xml:space="preserve">Jhaveri, Sneha  </t>
  </si>
  <si>
    <t>Johnson, George</t>
  </si>
  <si>
    <t xml:space="preserve">Johnson, Noelle </t>
  </si>
  <si>
    <t>Johnston, Yen</t>
  </si>
  <si>
    <t xml:space="preserve">Jung, Judy  </t>
  </si>
  <si>
    <t>Kampew, Donysha</t>
  </si>
  <si>
    <t>PA</t>
  </si>
  <si>
    <t xml:space="preserve">Keatts, Kramer </t>
  </si>
  <si>
    <t>Khemmich, Bartholemew</t>
  </si>
  <si>
    <t>CO</t>
  </si>
  <si>
    <t>King, Janet</t>
  </si>
  <si>
    <t>President &amp; CEO</t>
  </si>
  <si>
    <t>Executive Office</t>
  </si>
  <si>
    <t xml:space="preserve">Kinsella, Kathleen  </t>
  </si>
  <si>
    <t xml:space="preserve">Kirill, Alexandra  </t>
  </si>
  <si>
    <t>Knapp, Bradley  J</t>
  </si>
  <si>
    <t>Kretschmer, John</t>
  </si>
  <si>
    <t>Kreuger, Freddy</t>
  </si>
  <si>
    <t>NY</t>
  </si>
  <si>
    <t>Lajiri,  Jyoti</t>
  </si>
  <si>
    <t>Landa, Hans</t>
  </si>
  <si>
    <t>Langford, Lindsey</t>
  </si>
  <si>
    <t>Langton, Enrico</t>
  </si>
  <si>
    <t xml:space="preserve">LaRotonda, William  </t>
  </si>
  <si>
    <t>Latif, Mohammed</t>
  </si>
  <si>
    <t>Le, Binh</t>
  </si>
  <si>
    <t>Senior BI Developer</t>
  </si>
  <si>
    <t>Leach, Dallas</t>
  </si>
  <si>
    <t>LeBlanc, Brandon  R</t>
  </si>
  <si>
    <t>Shared Services Manager</t>
  </si>
  <si>
    <t>Lecter, Hannibal</t>
  </si>
  <si>
    <t>Leruth, Giovanni</t>
  </si>
  <si>
    <t>UT</t>
  </si>
  <si>
    <t>Liebig, Ketsia</t>
  </si>
  <si>
    <t xml:space="preserve">Linares, Marilyn </t>
  </si>
  <si>
    <t>Linden, Mathew</t>
  </si>
  <si>
    <t xml:space="preserve">Lindsay, Leonara </t>
  </si>
  <si>
    <t>Lundy, Susan</t>
  </si>
  <si>
    <t>Lunquist, Lisa</t>
  </si>
  <si>
    <t>Lydon, Allison</t>
  </si>
  <si>
    <t>Lynch, Lindsay</t>
  </si>
  <si>
    <t>MacLennan, Samuel</t>
  </si>
  <si>
    <t xml:space="preserve">Mahoney, Lauren  </t>
  </si>
  <si>
    <t>Manchester, Robyn</t>
  </si>
  <si>
    <t>Mancuso, Karen</t>
  </si>
  <si>
    <t>Mangal, Debbie</t>
  </si>
  <si>
    <t>Martin, Sandra</t>
  </si>
  <si>
    <t>Maurice, Shana</t>
  </si>
  <si>
    <t>Carthy, B'rigit</t>
  </si>
  <si>
    <t>Mckenna, Sandy</t>
  </si>
  <si>
    <t>McKinzie, Jac</t>
  </si>
  <si>
    <t>Meads, Elizabeth</t>
  </si>
  <si>
    <t>Medeiros, Jennifer</t>
  </si>
  <si>
    <t>Miller, Brannon</t>
  </si>
  <si>
    <t>Hispanic</t>
  </si>
  <si>
    <t>Miller, Ned</t>
  </si>
  <si>
    <t>Monkfish, Erasumus</t>
  </si>
  <si>
    <t>Monroe, Peter</t>
  </si>
  <si>
    <t>IT Manager - Infra</t>
  </si>
  <si>
    <t>Monterro, Luisa</t>
  </si>
  <si>
    <t>Moran, Patrick</t>
  </si>
  <si>
    <t>Morway, Tanya</t>
  </si>
  <si>
    <t>Motlagh,  Dawn</t>
  </si>
  <si>
    <t xml:space="preserve">Moumanil, Maliki </t>
  </si>
  <si>
    <t>Myers, Michael</t>
  </si>
  <si>
    <t>Navathe, Kurt</t>
  </si>
  <si>
    <t>Ndzi, Colombui</t>
  </si>
  <si>
    <t>Ndzi, Horia</t>
  </si>
  <si>
    <t xml:space="preserve">Newman, Richard </t>
  </si>
  <si>
    <t xml:space="preserve">Ngodup, Shari </t>
  </si>
  <si>
    <t>Nguyen, Dheepa</t>
  </si>
  <si>
    <t>GA</t>
  </si>
  <si>
    <t>Nguyen, Lei-Ming</t>
  </si>
  <si>
    <t>Nowlan, Kristie</t>
  </si>
  <si>
    <t>O'hare, Lynn</t>
  </si>
  <si>
    <t xml:space="preserve">Oliver, Brooke </t>
  </si>
  <si>
    <t>Onque, Jasmine</t>
  </si>
  <si>
    <t>FL</t>
  </si>
  <si>
    <t>Osturnka, Adeel</t>
  </si>
  <si>
    <t>Owad, Clinton</t>
  </si>
  <si>
    <t>Ozark, Travis</t>
  </si>
  <si>
    <t>NC</t>
  </si>
  <si>
    <t>Panjwani, Nina</t>
  </si>
  <si>
    <t>Patronick, Lucas</t>
  </si>
  <si>
    <t>Pearson, Randall</t>
  </si>
  <si>
    <t>Smith, Martin</t>
  </si>
  <si>
    <t>Pelletier, Ermine</t>
  </si>
  <si>
    <t>Perry, Shakira</t>
  </si>
  <si>
    <t>Peters, Lauren</t>
  </si>
  <si>
    <t xml:space="preserve">Peterson, Ebonee  </t>
  </si>
  <si>
    <t xml:space="preserve">Petingill, Shana  </t>
  </si>
  <si>
    <t>Petrowsky, Thelma</t>
  </si>
  <si>
    <t>Pham, Hong</t>
  </si>
  <si>
    <t xml:space="preserve">Pitt, Brad </t>
  </si>
  <si>
    <t>Potts, Xana</t>
  </si>
  <si>
    <t>KY</t>
  </si>
  <si>
    <t>Power, Morissa</t>
  </si>
  <si>
    <t xml:space="preserve">Punjabhi, Louis  </t>
  </si>
  <si>
    <t>Purinton, Janine</t>
  </si>
  <si>
    <t>Quinn, Sean</t>
  </si>
  <si>
    <t>Rachael, Maggie</t>
  </si>
  <si>
    <t>Rarrick, Quinn</t>
  </si>
  <si>
    <t>Ren, Kylo</t>
  </si>
  <si>
    <t>ID</t>
  </si>
  <si>
    <t>Rhoads, Thomas</t>
  </si>
  <si>
    <t xml:space="preserve">Rivera, Haley  </t>
  </si>
  <si>
    <t>Roberson, May</t>
  </si>
  <si>
    <t>Robertson, Peter</t>
  </si>
  <si>
    <t xml:space="preserve">Robinson, Alain  </t>
  </si>
  <si>
    <t>Robinson, Cherly</t>
  </si>
  <si>
    <t>Robinson, Elias</t>
  </si>
  <si>
    <t xml:space="preserve">Roby, Lori </t>
  </si>
  <si>
    <t>Roehrich, Bianca</t>
  </si>
  <si>
    <t>Principal Data Architect</t>
  </si>
  <si>
    <t>Roper, Katie</t>
  </si>
  <si>
    <t>Data Architect</t>
  </si>
  <si>
    <t xml:space="preserve">Rose, Ashley  </t>
  </si>
  <si>
    <t>Rossetti, Bruno</t>
  </si>
  <si>
    <t>Roup,Simon</t>
  </si>
  <si>
    <t>IT Manager - DB</t>
  </si>
  <si>
    <t>Ruiz, Ricardo</t>
  </si>
  <si>
    <t>Saada, Adell</t>
  </si>
  <si>
    <t>Saar-Beckles, Melinda</t>
  </si>
  <si>
    <t xml:space="preserve">Sadki, Nore  </t>
  </si>
  <si>
    <t>Sahoo, Adil</t>
  </si>
  <si>
    <t>Salter, Jason</t>
  </si>
  <si>
    <t xml:space="preserve">Data Analyst </t>
  </si>
  <si>
    <t>Sander, Kamrin</t>
  </si>
  <si>
    <t>Sewkumar, Nori</t>
  </si>
  <si>
    <t xml:space="preserve">Shepard, Anita </t>
  </si>
  <si>
    <t>Shields, Seffi</t>
  </si>
  <si>
    <t>Simard, Kramer</t>
  </si>
  <si>
    <t xml:space="preserve">Singh, Nan </t>
  </si>
  <si>
    <t>Sloan, Constance</t>
  </si>
  <si>
    <t>Smith, Joe</t>
  </si>
  <si>
    <t>Smith, John</t>
  </si>
  <si>
    <t>Smith, Leigh Ann</t>
  </si>
  <si>
    <t>Smith, Sade</t>
  </si>
  <si>
    <t xml:space="preserve">Soto, Julia </t>
  </si>
  <si>
    <t>Soze, Keyser</t>
  </si>
  <si>
    <t xml:space="preserve">Sparks, Taylor  </t>
  </si>
  <si>
    <t>Spirea, Kelley</t>
  </si>
  <si>
    <t>Squatrito, Kristen</t>
  </si>
  <si>
    <t>Stanford,Barbara  M</t>
  </si>
  <si>
    <t>Stansfield, Norman</t>
  </si>
  <si>
    <t>NV</t>
  </si>
  <si>
    <t xml:space="preserve">Steans, Tyrone  </t>
  </si>
  <si>
    <t>Stoica, Rick</t>
  </si>
  <si>
    <t>Strong, Caitrin</t>
  </si>
  <si>
    <t>MT</t>
  </si>
  <si>
    <t xml:space="preserve">Sullivan, Kissy </t>
  </si>
  <si>
    <t>Sullivan, Timothy</t>
  </si>
  <si>
    <t>Sutwell, Barbara</t>
  </si>
  <si>
    <t>Szabo, Andrew</t>
  </si>
  <si>
    <t>Tannen, Biff</t>
  </si>
  <si>
    <t xml:space="preserve">Tavares, Desiree  </t>
  </si>
  <si>
    <t xml:space="preserve">Tejeda, Lenora </t>
  </si>
  <si>
    <t xml:space="preserve">Terry, Sharlene </t>
  </si>
  <si>
    <t>OR</t>
  </si>
  <si>
    <t>Theamstern, Sophia</t>
  </si>
  <si>
    <t>Thibaud, Kenneth</t>
  </si>
  <si>
    <t>Tippett, Jeanette</t>
  </si>
  <si>
    <t>Torrence, Jack</t>
  </si>
  <si>
    <t>ND</t>
  </si>
  <si>
    <t>Trang, Mei</t>
  </si>
  <si>
    <t xml:space="preserve">Tredinnick, Neville </t>
  </si>
  <si>
    <t>True, Edward</t>
  </si>
  <si>
    <t>Trzeciak, Cybil</t>
  </si>
  <si>
    <t>Turpin, Jumil</t>
  </si>
  <si>
    <t>Valentin,Jackie</t>
  </si>
  <si>
    <t>AZ</t>
  </si>
  <si>
    <t xml:space="preserve">Veera, Abdellah </t>
  </si>
  <si>
    <t>Vega, Vincent</t>
  </si>
  <si>
    <t>Villanueva, Noah</t>
  </si>
  <si>
    <t>ME</t>
  </si>
  <si>
    <t>Voldemort, Lord</t>
  </si>
  <si>
    <t>Volk, Colleen</t>
  </si>
  <si>
    <t>Von Massenbach, Anna</t>
  </si>
  <si>
    <t>Walker, Roger</t>
  </si>
  <si>
    <t>Wallace, Courtney  E</t>
  </si>
  <si>
    <t>Wallace, Theresa</t>
  </si>
  <si>
    <t>Wang, Charlie</t>
  </si>
  <si>
    <t>Warfield, Sarah</t>
  </si>
  <si>
    <t>Whittier, Scott</t>
  </si>
  <si>
    <t>Wilber, Barry</t>
  </si>
  <si>
    <t>Wilkes, Annie</t>
  </si>
  <si>
    <t xml:space="preserve">Williams, Jacquelyn  </t>
  </si>
  <si>
    <t xml:space="preserve">Winthrop, Jordan  </t>
  </si>
  <si>
    <t>Wolk, Hang  T</t>
  </si>
  <si>
    <t>Woodson, Jason</t>
  </si>
  <si>
    <t xml:space="preserve">Ybarra, Catherine </t>
  </si>
  <si>
    <t>Zamora, Jennifer</t>
  </si>
  <si>
    <t>CIO</t>
  </si>
  <si>
    <t>Zhou, Julia</t>
  </si>
  <si>
    <t>Zima, Colleen</t>
  </si>
  <si>
    <t>Human Resources Data Set</t>
  </si>
  <si>
    <t>https://www.kaggle.com/datasets/rhuebner/human-resources-data-set</t>
  </si>
  <si>
    <t>Manager</t>
  </si>
  <si>
    <t>Name</t>
  </si>
  <si>
    <t>Xadinolfi, Wilson  K</t>
  </si>
  <si>
    <t>Position ID</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</si>
  <si>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</si>
  <si>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</si>
  <si>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</si>
  <si>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</si>
  <si>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</si>
  <si>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</si>
  <si>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</si>
  <si>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</si>
  <si>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</si>
  <si>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</si>
  <si>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</si>
  <si>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</si>
  <si>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</si>
  <si>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</si>
  <si>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</si>
  <si>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</si>
  <si>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</si>
  <si>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</si>
  <si>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</si>
  <si>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</si>
  <si>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</si>
  <si>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</si>
  <si>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</si>
  <si>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</si>
  <si>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</si>
  <si>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</si>
  <si>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</si>
  <si>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</si>
  <si>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</si>
  <si>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</si>
  <si>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</si>
  <si>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</si>
  <si>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Depatment</t>
  </si>
  <si>
    <t>Depatment ID</t>
  </si>
  <si>
    <t>D001</t>
  </si>
  <si>
    <t>D002</t>
  </si>
  <si>
    <t>D003</t>
  </si>
  <si>
    <t>D004</t>
  </si>
  <si>
    <t>D005</t>
  </si>
  <si>
    <t>D006</t>
  </si>
  <si>
    <t>Manager ID</t>
  </si>
  <si>
    <t>Department ID</t>
  </si>
  <si>
    <t>Manger ID</t>
  </si>
  <si>
    <t>Note:</t>
  </si>
  <si>
    <t>The dataset used for training has been modified by DSA to suit its specific purposes.</t>
  </si>
  <si>
    <t xml:space="preserve"> </t>
  </si>
  <si>
    <t>Male</t>
  </si>
  <si>
    <t>Female</t>
  </si>
  <si>
    <t xml:space="preserve"> Age</t>
  </si>
  <si>
    <t>Annual Salary (USD</t>
  </si>
  <si>
    <t>Tenured(Yrs)</t>
  </si>
  <si>
    <t>Analysis</t>
  </si>
  <si>
    <t>Grand Total</t>
  </si>
  <si>
    <t>No.</t>
  </si>
  <si>
    <t>Age Bracket</t>
  </si>
  <si>
    <t>50-59</t>
  </si>
  <si>
    <t>30-49</t>
  </si>
  <si>
    <t>Employee Count by Department</t>
  </si>
  <si>
    <t>Employee Count by Position</t>
  </si>
  <si>
    <t>Employee Count by Age Bracket</t>
  </si>
  <si>
    <t>N/A-Stillemployed</t>
  </si>
  <si>
    <t>Career Change</t>
  </si>
  <si>
    <t>Hours</t>
  </si>
  <si>
    <t>Return To School</t>
  </si>
  <si>
    <t>Another Position</t>
  </si>
  <si>
    <t>Unhappy</t>
  </si>
  <si>
    <t>Attendance</t>
  </si>
  <si>
    <t>Performance</t>
  </si>
  <si>
    <t>Learned That He Is A Gangster</t>
  </si>
  <si>
    <t>Retiring</t>
  </si>
  <si>
    <t>Relocation Out Of Area</t>
  </si>
  <si>
    <t>More Money</t>
  </si>
  <si>
    <t>Military</t>
  </si>
  <si>
    <t>No-Call, No-Show</t>
  </si>
  <si>
    <t>Fatal Attraction</t>
  </si>
  <si>
    <t>Maternity Leave - Did Not Return</t>
  </si>
  <si>
    <t>Medical Issues</t>
  </si>
  <si>
    <t>Gross Misconduct</t>
  </si>
  <si>
    <t>EmployeeSatisfaction</t>
  </si>
  <si>
    <t>Employee Count by EmpSatisfaction</t>
  </si>
  <si>
    <t>Count of EmpID</t>
  </si>
  <si>
    <t>Production</t>
  </si>
  <si>
    <t>Date of Hire(Year)</t>
  </si>
  <si>
    <t>Inactive</t>
  </si>
  <si>
    <t>%</t>
  </si>
  <si>
    <t>EmploymentStatus2</t>
  </si>
  <si>
    <t>Hiring Trend Per Year</t>
  </si>
  <si>
    <t>Average of Annual Salary (USD)</t>
  </si>
  <si>
    <t>PT_KPI_Employee_Count</t>
  </si>
  <si>
    <t>PT_KPI_Employee_Active_Count</t>
  </si>
  <si>
    <t>Active_Emp_Count</t>
  </si>
  <si>
    <t>Emp_Count</t>
  </si>
  <si>
    <t>PT_KPI_Employee_Department_Count</t>
  </si>
  <si>
    <t>Department_Count</t>
  </si>
  <si>
    <t>Count</t>
  </si>
  <si>
    <t>Position_Count</t>
  </si>
  <si>
    <t>PT_KPI_Employee_Position_Count</t>
  </si>
  <si>
    <t>PivotTableName:</t>
  </si>
  <si>
    <t>PT_KPI_Average_of_Annual_Salary_(USD)</t>
  </si>
  <si>
    <t>PT_CHART_Male_Count_&amp;_%</t>
  </si>
  <si>
    <t>PT_CHART_Female_Count_&amp;_%</t>
  </si>
  <si>
    <t>PT_CHART_EmpCount_By_Dept</t>
  </si>
  <si>
    <t>PT_CHART_EmpCount_By_Position(Top_5)</t>
  </si>
  <si>
    <t>PT_CHART_EmpCount_By_Age</t>
  </si>
  <si>
    <t>PT_CHART_EmpCount_By_Satisfaction</t>
  </si>
  <si>
    <t>PT_CHART_EmpCount_Hired_By_Year</t>
  </si>
  <si>
    <t>PT_CHART_EmpCount_by_RecruetmentSource</t>
  </si>
  <si>
    <t>60 or more</t>
  </si>
  <si>
    <t>PT_CHART_EmpCount_By_Satisfaction_Gauge_Chart</t>
  </si>
  <si>
    <t>Total</t>
  </si>
  <si>
    <t>Gauge</t>
  </si>
  <si>
    <t>Pointer</t>
  </si>
  <si>
    <t>Thickness</t>
  </si>
  <si>
    <t>Rest</t>
  </si>
  <si>
    <t>Average of EmpSatisfaction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</si>
</sst>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0.0"/>
    <numFmt numFmtId="165" formatCode="[$$-2C09]#,##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8"/>
      <name val="Calibri"/>
      <family val="2"/>
      <scheme val="minor"/>
    </font>
    <font>
      <b/>
      <i/>
      <sz val="11"/>
      <color theme="1"/>
      <name val="Calibri"/>
      <family val="2"/>
      <scheme val="minor"/>
    </font>
    <font>
      <i/>
      <sz val="11"/>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101425"/>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style="medium">
        <color indexed="64"/>
      </right>
      <top/>
      <bottom/>
      <diagonal/>
    </border>
    <border>
      <left/>
      <right/>
      <top/>
      <bottom style="thin">
        <color indexed="64"/>
      </bottom>
      <diagonal/>
    </border>
    <border>
      <left style="medium">
        <color indexed="64"/>
      </left>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14" fontId="0" fillId="0" borderId="0" xfId="0" applyNumberFormat="1"/>
    <xf numFmtId="0" fontId="18" fillId="0" borderId="0" xfId="42"/>
    <xf numFmtId="14" fontId="0" fillId="0" borderId="0" xfId="0" quotePrefix="1" applyNumberFormat="1"/>
    <xf numFmtId="0" fontId="16" fillId="33" borderId="0" xfId="0" applyFont="1" applyFill="1"/>
    <xf numFmtId="0" fontId="13" fillId="34" borderId="0" xfId="0" applyFont="1" applyFill="1"/>
    <xf numFmtId="43" fontId="16" fillId="33" borderId="0" xfId="43" applyFont="1" applyFill="1"/>
    <xf numFmtId="43" fontId="0" fillId="0" borderId="0" xfId="43" applyFont="1"/>
    <xf numFmtId="164" fontId="0" fillId="0" borderId="0" xfId="0" applyNumberFormat="1"/>
    <xf numFmtId="0" fontId="0" fillId="0" borderId="0" xfId="0" pivotButton="1"/>
    <xf numFmtId="0" fontId="0" fillId="0" borderId="11" xfId="0" applyBorder="1"/>
    <xf numFmtId="9" fontId="0" fillId="0" borderId="0" xfId="44" applyFont="1"/>
    <xf numFmtId="165" fontId="0" fillId="0" borderId="0" xfId="0" applyNumberFormat="1"/>
    <xf numFmtId="0" fontId="0" fillId="0" borderId="12" xfId="0" applyBorder="1"/>
    <xf numFmtId="0" fontId="0" fillId="35" borderId="0" xfId="0" applyFill="1"/>
    <xf numFmtId="0" fontId="0" fillId="35" borderId="11" xfId="0" applyFill="1" applyBorder="1"/>
    <xf numFmtId="0" fontId="20" fillId="35" borderId="0" xfId="0" applyFont="1" applyFill="1"/>
    <xf numFmtId="0" fontId="16" fillId="35" borderId="10" xfId="0" applyFont="1" applyFill="1" applyBorder="1"/>
    <xf numFmtId="0" fontId="0" fillId="0" borderId="13" xfId="0" applyBorder="1" applyAlignment="1">
      <alignment wrapText="1"/>
    </xf>
    <xf numFmtId="0" fontId="0" fillId="0" borderId="13" xfId="0" applyBorder="1"/>
    <xf numFmtId="0" fontId="21" fillId="0" borderId="13" xfId="0" applyFont="1" applyBorder="1"/>
    <xf numFmtId="0" fontId="21" fillId="0" borderId="0" xfId="0" applyFont="1"/>
    <xf numFmtId="0" fontId="0" fillId="36" borderId="0" xfId="0" applyFill="1"/>
    <xf numFmtId="0" fontId="0" fillId="36" borderId="0" xfId="0" applyFill="1" applyAlignment="1">
      <alignment horizontal="center" vertical="center"/>
    </xf>
    <xf numFmtId="2"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28">
    <dxf>
      <numFmt numFmtId="0" formatCode="General"/>
    </dxf>
    <dxf>
      <numFmt numFmtId="0" formatCode="General"/>
    </dxf>
    <dxf>
      <numFmt numFmtId="0" formatCode="General"/>
    </dxf>
    <dxf>
      <numFmt numFmtId="164" formatCode="0.0"/>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font>
        <b/>
        <strike val="0"/>
        <outline val="0"/>
        <shadow val="0"/>
        <u val="none"/>
        <vertAlign val="baseline"/>
        <sz val="11"/>
        <color theme="1"/>
        <name val="Calibri"/>
        <family val="2"/>
        <scheme val="minor"/>
      </font>
      <fill>
        <patternFill patternType="solid">
          <fgColor indexed="64"/>
          <bgColor theme="9"/>
        </patternFill>
      </fill>
    </dxf>
    <dxf>
      <fill>
        <patternFill patternType="solid">
          <fgColor indexed="64"/>
          <bgColor theme="2" tint="-9.9978637043366805E-2"/>
        </patternFill>
      </fill>
    </dxf>
    <dxf>
      <fill>
        <patternFill>
          <bgColor theme="2" tint="-9.9978637043366805E-2"/>
        </patternFill>
      </fill>
    </dxf>
    <dxf>
      <numFmt numFmtId="2" formatCode="0.00"/>
    </dxf>
    <dxf>
      <fill>
        <patternFill>
          <bgColor theme="2" tint="-9.9978637043366805E-2"/>
        </patternFill>
      </fill>
    </dxf>
    <dxf>
      <border>
        <vertical/>
      </border>
    </dxf>
    <dxf>
      <border>
        <bottom style="thin">
          <color indexed="64"/>
        </bottom>
      </border>
    </dxf>
    <dxf>
      <fill>
        <patternFill patternType="solid">
          <fgColor indexed="64"/>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border>
        <vertical/>
      </border>
    </dxf>
    <dxf>
      <numFmt numFmtId="165" formatCode="[$$-2C09]#,##0.00"/>
    </dxf>
    <dxf>
      <font>
        <name val="Microsoft JhengHei UI"/>
        <family val="2"/>
        <scheme val="none"/>
      </font>
      <fill>
        <patternFill>
          <bgColor rgb="FF171D31"/>
        </patternFill>
      </fill>
    </dxf>
  </dxfs>
  <tableStyles count="3" defaultTableStyle="TableStyleMedium2" defaultPivotStyle="PivotStyleLight16">
    <tableStyle name="Slicer Style 1" pivot="0" table="0" count="7" xr9:uid="{1696177D-2862-446F-8805-4BFD45C2B166}">
      <tableStyleElement type="wholeTable" dxfId="27"/>
    </tableStyle>
    <tableStyle name="Slicer Style 2" pivot="0" table="0" count="1" xr9:uid="{676CA510-5686-46B6-8768-454854D73004}"/>
    <tableStyle name="Slicer Style 3" pivot="0" table="0" count="1" xr9:uid="{B7BD18E2-5DD3-459F-BDFC-2C776337C2F8}"/>
  </tableStyles>
  <colors>
    <mruColors>
      <color rgb="FF05F2DB"/>
      <color rgb="FF171D31"/>
      <color rgb="FF9305F2"/>
      <color rgb="FF101425"/>
      <color rgb="FF01FEEE"/>
      <color rgb="FF43D9C1"/>
      <color rgb="FF4492DA"/>
      <color rgb="FF21476A"/>
      <color rgb="FF2B5D8C"/>
      <color rgb="FF4390D9"/>
    </mruColors>
  </colors>
  <extLst>
    <ext xmlns:x14="http://schemas.microsoft.com/office/spreadsheetml/2009/9/main" uri="{46F421CA-312F-682f-3DD2-61675219B42D}">
      <x14:dxfs count="8">
        <dxf>
          <font>
            <name val="Calibri"/>
            <family val="2"/>
            <scheme val="minor"/>
          </font>
          <fill>
            <patternFill>
              <bgColor theme="0"/>
            </patternFill>
          </fill>
        </dxf>
        <dxf>
          <fill>
            <patternFill>
              <bgColor theme="0"/>
            </patternFill>
          </fill>
        </dxf>
        <dxf>
          <fill>
            <patternFill patternType="none">
              <bgColor auto="1"/>
            </patternFill>
          </fill>
        </dxf>
        <dxf>
          <fill>
            <patternFill>
              <bgColor rgb="FF05F2DB"/>
            </patternFill>
          </fill>
        </dxf>
        <dxf>
          <fill>
            <patternFill>
              <bgColor rgb="FF05F2DB"/>
            </patternFill>
          </fill>
        </dxf>
        <dxf>
          <fill>
            <patternFill>
              <bgColor rgb="FF05F2DB"/>
            </patternFill>
          </fill>
        </dxf>
        <dxf>
          <fill>
            <patternFill patternType="none">
              <bgColor auto="1"/>
            </patternFill>
          </fill>
        </dxf>
        <dxf>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hoveredUnselectedItemWithData" dxfId="4"/>
            <x14:slicerStyleElement type="hoveredSelectedItemWithData" dxfId="3"/>
            <x14:slicerStyleElement type="hoveredSelectedItemWithNoData" dxfId="2"/>
          </x14:slicerStyleElements>
        </x14:slicerStyle>
        <x14:slicerStyle name="Slicer Style 2">
          <x14:slicerStyleElements>
            <x14:slicerStyleElement type="selectedItemWithData" dxfId="1"/>
          </x14:slicerStyleElements>
        </x14:slicerStyle>
        <x14:slicerStyle name="Slicer Style 3">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[HR_Dashboard.xlsm]Analysis!PT_CHART_EmpCount_By_Age</c:name>
    <c:fmtId val="7"/>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4492DA"/>
          </a:solidFill>
          <a:ln w="19050">
            <a:noFill/>
          </a:ln>
          <a:effectLst/>
        </c:spPr>
        <c:dLbl>
          <c:idx val="0"/>
          <c:layout>
            <c:manualLayout>
              <c:x val="0.15509049752645693"/>
              <c:y val="-7.185905006631263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092769839507394"/>
                  <c:h val="0.18538704009637116"/>
                </c:manualLayout>
              </c15:layout>
            </c:ext>
          </c:extLst>
        </c:dLbl>
      </c:pivotFmt>
      <c:pivotFmt>
        <c:idx val="7"/>
        <c:spPr>
          <a:solidFill>
            <a:srgbClr val="43D9C1"/>
          </a:solidFill>
          <a:ln w="19050">
            <a:noFill/>
          </a:ln>
          <a:effectLst/>
        </c:spPr>
        <c:dLbl>
          <c:idx val="0"/>
          <c:layout>
            <c:manualLayout>
              <c:x val="-0.35289660667254769"/>
              <c:y val="0.11841114354811202"/>
            </c:manualLayout>
          </c:layout>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498689050163192"/>
                  <c:h val="0.21199012099703216"/>
                </c:manualLayout>
              </c15:layout>
            </c:ext>
          </c:extLst>
        </c:dLbl>
      </c:pivotFmt>
      <c:pivotFmt>
        <c:idx val="8"/>
        <c:spPr>
          <a:solidFill>
            <a:schemeClr val="bg2">
              <a:lumMod val="90000"/>
            </a:schemeClr>
          </a:solidFill>
          <a:ln w="19050">
            <a:noFill/>
          </a:ln>
          <a:effectLst/>
        </c:spPr>
        <c:dLbl>
          <c:idx val="0"/>
          <c:layout>
            <c:manualLayout>
              <c:x val="-0.16868580933346519"/>
              <c:y val="-8.8992619362353878E-2"/>
            </c:manualLayout>
          </c:layout>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714918329224757"/>
                  <c:h val="0.18749833335661342"/>
                </c:manualLayout>
              </c15:layout>
            </c:ext>
          </c:extLst>
        </c:dLbl>
      </c:pivotFmt>
    </c:pivotFmts>
    <c:plotArea>
      <c:layout>
        <c:manualLayout>
          <c:layoutTarget val="inner"/>
          <c:xMode val="edge"/>
          <c:yMode val="edge"/>
          <c:x val="0.20484103660836261"/>
          <c:y val="0.10621136263803399"/>
          <c:w val="0.55046992770198233"/>
          <c:h val="0.75479373257836535"/>
        </c:manualLayout>
      </c:layout>
      <c:doughnutChart>
        <c:varyColors val="1"/>
        <c:ser>
          <c:idx val="0"/>
          <c:order val="0"/>
          <c:tx>
            <c:strRef>
              <c:f>Analysis!$AI$10</c:f>
              <c:strCache>
                <c:ptCount val="1"/>
                <c:pt idx="0">
                  <c:v>Total</c:v>
                </c:pt>
              </c:strCache>
            </c:strRef>
          </c:tx>
          <c:spPr>
            <a:solidFill>
              <a:schemeClr val="lt1"/>
            </a:solidFill>
            <a:ln w="19050">
              <a:solidFill>
                <a:schemeClr val="accent1"/>
              </a:solidFill>
            </a:ln>
            <a:effectLst/>
          </c:spPr>
          <c:dPt>
            <c:idx val="0"/>
            <c:bubble3D val="0"/>
            <c:spPr>
              <a:solidFill>
                <a:srgbClr val="4492DA"/>
              </a:solidFill>
              <a:ln w="19050">
                <a:noFill/>
              </a:ln>
              <a:effectLst/>
            </c:spPr>
            <c:extLst>
              <c:ext xmlns:c16="http://schemas.microsoft.com/office/drawing/2014/chart" uri="{C3380CC4-5D6E-409C-BE32-E72D297353CC}">
                <c16:uniqueId val="{00000001-01A5-4B8C-896D-7EC5950DEDEF}"/>
              </c:ext>
            </c:extLst>
          </c:dPt>
          <c:dPt>
            <c:idx val="1"/>
            <c:bubble3D val="0"/>
            <c:spPr>
              <a:solidFill>
                <a:srgbClr val="43D9C1"/>
              </a:solidFill>
              <a:ln w="19050">
                <a:noFill/>
              </a:ln>
              <a:effectLst/>
            </c:spPr>
            <c:extLst>
              <c:ext xmlns:c16="http://schemas.microsoft.com/office/drawing/2014/chart" uri="{C3380CC4-5D6E-409C-BE32-E72D297353CC}">
                <c16:uniqueId val="{00000003-01A5-4B8C-896D-7EC5950DEDEF}"/>
              </c:ext>
            </c:extLst>
          </c:dPt>
          <c:dPt>
            <c:idx val="2"/>
            <c:bubble3D val="0"/>
            <c:spPr>
              <a:solidFill>
                <a:schemeClr val="bg2">
                  <a:lumMod val="90000"/>
                </a:schemeClr>
              </a:solidFill>
              <a:ln w="19050">
                <a:noFill/>
              </a:ln>
              <a:effectLst/>
            </c:spPr>
            <c:extLst>
              <c:ext xmlns:c16="http://schemas.microsoft.com/office/drawing/2014/chart" uri="{C3380CC4-5D6E-409C-BE32-E72D297353CC}">
                <c16:uniqueId val="{00000005-01A5-4B8C-896D-7EC5950DEDEF}"/>
              </c:ext>
            </c:extLst>
          </c:dPt>
          <c:dLbls>
            <c:dLbl>
              <c:idx val="0"/>
              <c:layout>
                <c:manualLayout>
                  <c:x val="0.15509049752645693"/>
                  <c:y val="-7.185905006631263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092769839507394"/>
                      <c:h val="0.18538704009637116"/>
                    </c:manualLayout>
                  </c15:layout>
                </c:ext>
                <c:ext xmlns:c16="http://schemas.microsoft.com/office/drawing/2014/chart" uri="{C3380CC4-5D6E-409C-BE32-E72D297353CC}">
                  <c16:uniqueId val="{00000001-01A5-4B8C-896D-7EC5950DEDEF}"/>
                </c:ext>
              </c:extLst>
            </c:dLbl>
            <c:dLbl>
              <c:idx val="1"/>
              <c:layout>
                <c:manualLayout>
                  <c:x val="-0.35289660667254769"/>
                  <c:y val="0.11841114354811202"/>
                </c:manualLayout>
              </c:layout>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498689050163192"/>
                      <c:h val="0.21199012099703216"/>
                    </c:manualLayout>
                  </c15:layout>
                </c:ext>
                <c:ext xmlns:c16="http://schemas.microsoft.com/office/drawing/2014/chart" uri="{C3380CC4-5D6E-409C-BE32-E72D297353CC}">
                  <c16:uniqueId val="{00000003-01A5-4B8C-896D-7EC5950DEDEF}"/>
                </c:ext>
              </c:extLst>
            </c:dLbl>
            <c:dLbl>
              <c:idx val="2"/>
              <c:layout>
                <c:manualLayout>
                  <c:x val="-0.16868580933346519"/>
                  <c:y val="-8.8992619362353878E-2"/>
                </c:manualLayout>
              </c:layout>
              <c:spPr>
                <a:noFill/>
                <a:ln>
                  <a:noFill/>
                </a:ln>
                <a:effectLst/>
              </c:spPr>
              <c:txPr>
                <a:bodyPr rot="0" spcFirstLastPara="1" vertOverflow="ellipsis" vert="horz" wrap="none" lIns="38100" tIns="19050" rIns="38100" bIns="19050" anchor="ctr" anchorCtr="1">
                  <a:no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714918329224757"/>
                      <c:h val="0.18749833335661342"/>
                    </c:manualLayout>
                  </c15:layout>
                </c:ext>
                <c:ext xmlns:c16="http://schemas.microsoft.com/office/drawing/2014/chart" uri="{C3380CC4-5D6E-409C-BE32-E72D297353CC}">
                  <c16:uniqueId val="{00000005-01A5-4B8C-896D-7EC5950DEDE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Analysis!$AH$11:$AH$14</c:f>
              <c:strCache>
                <c:ptCount val="3"/>
                <c:pt idx="0">
                  <c:v>30-49</c:v>
                </c:pt>
                <c:pt idx="1">
                  <c:v>50-59</c:v>
                </c:pt>
                <c:pt idx="2">
                  <c:v>60 or more</c:v>
                </c:pt>
              </c:strCache>
            </c:strRef>
          </c:cat>
          <c:val>
            <c:numRef>
              <c:f>Analysis!$AI$11:$AI$14</c:f>
              <c:numCache>
                <c:formatCode>General</c:formatCode>
                <c:ptCount val="3"/>
                <c:pt idx="0">
                  <c:v>160</c:v>
                </c:pt>
                <c:pt idx="1">
                  <c:v>38</c:v>
                </c:pt>
                <c:pt idx="2">
                  <c:v>9</c:v>
                </c:pt>
              </c:numCache>
            </c:numRef>
          </c:val>
          <c:extLst>
            <c:ext xmlns:c16="http://schemas.microsoft.com/office/drawing/2014/chart" uri="{C3380CC4-5D6E-409C-BE32-E72D297353CC}">
              <c16:uniqueId val="{00000006-01A5-4B8C-896D-7EC5950DEDEF}"/>
            </c:ext>
          </c:extLst>
        </c:ser>
        <c:dLbls>
          <c:showLegendKey val="0"/>
          <c:showVal val="0"/>
          <c:showCatName val="1"/>
          <c:showSerName val="0"/>
          <c:showPercent val="1"/>
          <c:showBubbleSize val="0"/>
          <c:showLeaderLines val="0"/>
        </c:dLbls>
        <c:firstSliceAng val="32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[HR_Dashboard.xlsm]Analysis!PT_CHART_EmpCount_Hired_By_Year</c:name>
    <c:fmtId val="1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1FEE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01FEEE"/>
            </a:solidFill>
            <a:round/>
          </a:ln>
          <a:effectLst/>
        </c:spPr>
        <c:marker>
          <c:symbol val="none"/>
        </c:marker>
      </c:pivotFmt>
    </c:pivotFmts>
    <c:plotArea>
      <c:layout>
        <c:manualLayout>
          <c:layoutTarget val="inner"/>
          <c:xMode val="edge"/>
          <c:yMode val="edge"/>
          <c:x val="2.3436223443000989E-2"/>
          <c:y val="0.17302798548846984"/>
          <c:w val="0.95312755311399799"/>
          <c:h val="0.70153609170483233"/>
        </c:manualLayout>
      </c:layout>
      <c:lineChart>
        <c:grouping val="standard"/>
        <c:varyColors val="0"/>
        <c:ser>
          <c:idx val="0"/>
          <c:order val="0"/>
          <c:tx>
            <c:strRef>
              <c:f>Analysis!$AV$10</c:f>
              <c:strCache>
                <c:ptCount val="1"/>
                <c:pt idx="0">
                  <c:v>Total</c:v>
                </c:pt>
              </c:strCache>
            </c:strRef>
          </c:tx>
          <c:spPr>
            <a:ln w="28575" cap="rnd">
              <a:solidFill>
                <a:srgbClr val="01FEEE"/>
              </a:solidFill>
              <a:round/>
            </a:ln>
            <a:effectLst/>
          </c:spPr>
          <c:marker>
            <c:symbol val="none"/>
          </c:marker>
          <c:cat>
            <c:strRef>
              <c:f>Analysis!$AU$11:$AU$24</c:f>
              <c:strCach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strCache>
            </c:strRef>
          </c:cat>
          <c:val>
            <c:numRef>
              <c:f>Analysis!$AV$11:$AV$24</c:f>
              <c:numCache>
                <c:formatCode>General</c:formatCode>
                <c:ptCount val="13"/>
                <c:pt idx="0">
                  <c:v>1</c:v>
                </c:pt>
                <c:pt idx="1">
                  <c:v>2</c:v>
                </c:pt>
                <c:pt idx="2">
                  <c:v>3</c:v>
                </c:pt>
                <c:pt idx="3">
                  <c:v>7</c:v>
                </c:pt>
                <c:pt idx="4">
                  <c:v>9</c:v>
                </c:pt>
                <c:pt idx="5">
                  <c:v>83</c:v>
                </c:pt>
                <c:pt idx="6">
                  <c:v>45</c:v>
                </c:pt>
                <c:pt idx="7">
                  <c:v>44</c:v>
                </c:pt>
                <c:pt idx="8">
                  <c:v>60</c:v>
                </c:pt>
                <c:pt idx="9">
                  <c:v>36</c:v>
                </c:pt>
                <c:pt idx="10">
                  <c:v>14</c:v>
                </c:pt>
                <c:pt idx="11">
                  <c:v>6</c:v>
                </c:pt>
                <c:pt idx="12">
                  <c:v>1</c:v>
                </c:pt>
              </c:numCache>
            </c:numRef>
          </c:val>
          <c:smooth val="1"/>
          <c:extLst>
            <c:ext xmlns:c16="http://schemas.microsoft.com/office/drawing/2014/chart" uri="{C3380CC4-5D6E-409C-BE32-E72D297353CC}">
              <c16:uniqueId val="{00000000-995A-4612-8F99-AC24A3EB69CA}"/>
            </c:ext>
          </c:extLst>
        </c:ser>
        <c:dLbls>
          <c:showLegendKey val="0"/>
          <c:showVal val="0"/>
          <c:showCatName val="0"/>
          <c:showSerName val="0"/>
          <c:showPercent val="0"/>
          <c:showBubbleSize val="0"/>
        </c:dLbls>
        <c:smooth val="0"/>
        <c:axId val="2115427600"/>
        <c:axId val="2115428080"/>
      </c:lineChart>
      <c:catAx>
        <c:axId val="2115427600"/>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2115428080"/>
        <c:crosses val="autoZero"/>
        <c:auto val="1"/>
        <c:lblAlgn val="ctr"/>
        <c:lblOffset val="100"/>
        <c:noMultiLvlLbl val="0"/>
      </c:catAx>
      <c:valAx>
        <c:axId val="2115428080"/>
        <c:scaling>
          <c:orientation val="minMax"/>
        </c:scaling>
        <c:delete val="1"/>
        <c:axPos val="l"/>
        <c:numFmt formatCode="General" sourceLinked="1"/>
        <c:majorTickMark val="none"/>
        <c:minorTickMark val="none"/>
        <c:tickLblPos val="nextTo"/>
        <c:crossAx val="211542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[HR_Dashboard.xlsm]Analysis!PT_CHART_EmpCount_by_RecruetmentSource</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1FEEE"/>
              </a:gs>
              <a:gs pos="100000">
                <a:schemeClr val="accent1">
                  <a:lumMod val="45000"/>
                  <a:lumOff val="55000"/>
                </a:schemeClr>
              </a:gs>
              <a:gs pos="83000">
                <a:schemeClr val="accent1">
                  <a:lumMod val="45000"/>
                  <a:lumOff val="55000"/>
                </a:schemeClr>
              </a:gs>
              <a:gs pos="100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01FEEE"/>
              </a:gs>
              <a:gs pos="100000">
                <a:schemeClr val="accent1">
                  <a:lumMod val="45000"/>
                  <a:lumOff val="55000"/>
                </a:schemeClr>
              </a:gs>
              <a:gs pos="83000">
                <a:schemeClr val="accent1">
                  <a:lumMod val="45000"/>
                  <a:lumOff val="55000"/>
                </a:schemeClr>
              </a:gs>
              <a:gs pos="100000">
                <a:schemeClr val="accent1">
                  <a:lumMod val="30000"/>
                  <a:lumOff val="70000"/>
                </a:schemeClr>
              </a:gs>
            </a:gsLst>
            <a:lin ang="0" scaled="1"/>
            <a:tileRect/>
          </a:gradFill>
          <a:ln>
            <a:noFill/>
          </a:ln>
          <a:effectLst/>
        </c:spPr>
      </c:pivotFmt>
      <c:pivotFmt>
        <c:idx val="4"/>
        <c:spPr>
          <a:solidFill>
            <a:srgbClr val="4295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1FEEE"/>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578293043110362"/>
          <c:y val="0.18045107354029888"/>
          <c:w val="0.51248657277466514"/>
          <c:h val="0.76409195373862671"/>
        </c:manualLayout>
      </c:layout>
      <c:barChart>
        <c:barDir val="bar"/>
        <c:grouping val="clustered"/>
        <c:varyColors val="0"/>
        <c:ser>
          <c:idx val="0"/>
          <c:order val="0"/>
          <c:tx>
            <c:strRef>
              <c:f>Analysis!$AY$10</c:f>
              <c:strCache>
                <c:ptCount val="1"/>
                <c:pt idx="0">
                  <c:v>Total</c:v>
                </c:pt>
              </c:strCache>
            </c:strRef>
          </c:tx>
          <c:spPr>
            <a:gradFill flip="none" rotWithShape="1">
              <a:gsLst>
                <a:gs pos="0">
                  <a:srgbClr val="01FEEE"/>
                </a:gs>
                <a:gs pos="100000">
                  <a:schemeClr val="accent1">
                    <a:lumMod val="45000"/>
                    <a:lumOff val="55000"/>
                  </a:schemeClr>
                </a:gs>
                <a:gs pos="83000">
                  <a:schemeClr val="accent1">
                    <a:lumMod val="45000"/>
                    <a:lumOff val="55000"/>
                  </a:schemeClr>
                </a:gs>
                <a:gs pos="100000">
                  <a:schemeClr val="accent1">
                    <a:lumMod val="30000"/>
                    <a:lumOff val="70000"/>
                  </a:schemeClr>
                </a:gs>
              </a:gsLst>
              <a:lin ang="0" scaled="1"/>
              <a:tileRect/>
            </a:gradFill>
            <a:ln>
              <a:noFill/>
            </a:ln>
            <a:effectLst/>
          </c:spPr>
          <c:invertIfNegative val="0"/>
          <c:dPt>
            <c:idx val="3"/>
            <c:invertIfNegative val="0"/>
            <c:bubble3D val="0"/>
            <c:spPr>
              <a:gradFill flip="none" rotWithShape="1">
                <a:gsLst>
                  <a:gs pos="0">
                    <a:srgbClr val="01FEEE"/>
                  </a:gs>
                  <a:gs pos="100000">
                    <a:schemeClr val="accent1">
                      <a:lumMod val="45000"/>
                      <a:lumOff val="55000"/>
                    </a:schemeClr>
                  </a:gs>
                  <a:gs pos="83000">
                    <a:schemeClr val="accent1">
                      <a:lumMod val="45000"/>
                      <a:lumOff val="55000"/>
                    </a:schemeClr>
                  </a:gs>
                  <a:gs pos="100000">
                    <a:schemeClr val="accent1">
                      <a:lumMod val="30000"/>
                      <a:lumOff val="70000"/>
                    </a:schemeClr>
                  </a:gs>
                </a:gsLst>
                <a:lin ang="0" scaled="1"/>
                <a:tileRect/>
              </a:gradFill>
              <a:ln>
                <a:noFill/>
              </a:ln>
              <a:effectLst/>
            </c:spPr>
            <c:extLst>
              <c:ext xmlns:c16="http://schemas.microsoft.com/office/drawing/2014/chart" uri="{C3380CC4-5D6E-409C-BE32-E72D297353CC}">
                <c16:uniqueId val="{00000001-F79E-49FE-BF9F-C6F37EAD0658}"/>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Analysis!$AX$11:$AX$16</c:f>
              <c:strCache>
                <c:ptCount val="5"/>
                <c:pt idx="0">
                  <c:v>Diversity Job Fair</c:v>
                </c:pt>
                <c:pt idx="1">
                  <c:v>Google Search</c:v>
                </c:pt>
                <c:pt idx="2">
                  <c:v>Employee Referral</c:v>
                </c:pt>
                <c:pt idx="3">
                  <c:v>LinkedIn</c:v>
                </c:pt>
                <c:pt idx="4">
                  <c:v>Indeed</c:v>
                </c:pt>
              </c:strCache>
            </c:strRef>
          </c:cat>
          <c:val>
            <c:numRef>
              <c:f>Analysis!$AY$11:$AY$16</c:f>
              <c:numCache>
                <c:formatCode>General</c:formatCode>
                <c:ptCount val="5"/>
                <c:pt idx="0">
                  <c:v>13</c:v>
                </c:pt>
                <c:pt idx="1">
                  <c:v>19</c:v>
                </c:pt>
                <c:pt idx="2">
                  <c:v>26</c:v>
                </c:pt>
                <c:pt idx="3">
                  <c:v>58</c:v>
                </c:pt>
                <c:pt idx="4">
                  <c:v>66</c:v>
                </c:pt>
              </c:numCache>
            </c:numRef>
          </c:val>
          <c:extLst>
            <c:ext xmlns:c16="http://schemas.microsoft.com/office/drawing/2014/chart" uri="{C3380CC4-5D6E-409C-BE32-E72D297353CC}">
              <c16:uniqueId val="{00000000-F79E-49FE-BF9F-C6F37EAD0658}"/>
            </c:ext>
          </c:extLst>
        </c:ser>
        <c:dLbls>
          <c:showLegendKey val="0"/>
          <c:showVal val="0"/>
          <c:showCatName val="0"/>
          <c:showSerName val="0"/>
          <c:showPercent val="0"/>
          <c:showBubbleSize val="0"/>
        </c:dLbls>
        <c:gapWidth val="75"/>
        <c:overlap val="100"/>
        <c:axId val="2115397360"/>
        <c:axId val="2115397840"/>
      </c:barChart>
      <c:catAx>
        <c:axId val="211539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2115397840"/>
        <c:crosses val="autoZero"/>
        <c:auto val="1"/>
        <c:lblAlgn val="ctr"/>
        <c:lblOffset val="100"/>
        <c:noMultiLvlLbl val="0"/>
      </c:catAx>
      <c:valAx>
        <c:axId val="2115397840"/>
        <c:scaling>
          <c:orientation val="minMax"/>
        </c:scaling>
        <c:delete val="1"/>
        <c:axPos val="b"/>
        <c:numFmt formatCode="General" sourceLinked="1"/>
        <c:majorTickMark val="none"/>
        <c:minorTickMark val="none"/>
        <c:tickLblPos val="nextTo"/>
        <c:crossAx val="211539736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[HR_Dashboard.xlsm]Analysis!PT_CHART_EmpCount_By_Position(Top_5)</c:name>
    <c:fmtId val="7"/>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a:gsLst>
              <a:gs pos="100000">
                <a:srgbClr val="01FEEE"/>
              </a:gs>
              <a:gs pos="11000">
                <a:srgbClr val="B5D2EC"/>
              </a:gs>
              <a:gs pos="7000">
                <a:schemeClr val="accent5">
                  <a:lumMod val="45000"/>
                  <a:lumOff val="55000"/>
                </a:schemeClr>
              </a:gs>
              <a:gs pos="0">
                <a:schemeClr val="accent5">
                  <a:lumMod val="45000"/>
                  <a:lumOff val="55000"/>
                </a:schemeClr>
              </a:gs>
              <a:gs pos="100000">
                <a:schemeClr val="accent5">
                  <a:lumMod val="30000"/>
                  <a:lumOff val="70000"/>
                </a:schemeClr>
              </a:gs>
            </a:gsLst>
            <a:lin ang="108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rgbClr val="01FEE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333383042324763"/>
          <c:y val="0.16865235461956882"/>
          <c:w val="0.6040125045143544"/>
          <c:h val="0.78243791551579323"/>
        </c:manualLayout>
      </c:layout>
      <c:barChart>
        <c:barDir val="bar"/>
        <c:grouping val="clustered"/>
        <c:varyColors val="0"/>
        <c:ser>
          <c:idx val="0"/>
          <c:order val="0"/>
          <c:tx>
            <c:strRef>
              <c:f>Analysis!$AD$10</c:f>
              <c:strCache>
                <c:ptCount val="1"/>
                <c:pt idx="0">
                  <c:v>Total</c:v>
                </c:pt>
              </c:strCache>
            </c:strRef>
          </c:tx>
          <c:spPr>
            <a:gradFill>
              <a:gsLst>
                <a:gs pos="100000">
                  <a:srgbClr val="01FEEE"/>
                </a:gs>
                <a:gs pos="11000">
                  <a:srgbClr val="B5D2EC"/>
                </a:gs>
                <a:gs pos="7000">
                  <a:schemeClr val="accent5">
                    <a:lumMod val="45000"/>
                    <a:lumOff val="55000"/>
                  </a:schemeClr>
                </a:gs>
                <a:gs pos="0">
                  <a:schemeClr val="accent5">
                    <a:lumMod val="45000"/>
                    <a:lumOff val="55000"/>
                  </a:schemeClr>
                </a:gs>
                <a:gs pos="100000">
                  <a:schemeClr val="accent5">
                    <a:lumMod val="30000"/>
                    <a:lumOff val="70000"/>
                  </a:schemeClr>
                </a:gs>
              </a:gsLst>
              <a:lin ang="108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Analysis!$AC$11:$AC$16</c:f>
              <c:strCache>
                <c:ptCount val="5"/>
                <c:pt idx="0">
                  <c:v>IT Support</c:v>
                </c:pt>
                <c:pt idx="1">
                  <c:v>Production Manager</c:v>
                </c:pt>
                <c:pt idx="2">
                  <c:v>Area Sales Manager</c:v>
                </c:pt>
                <c:pt idx="3">
                  <c:v>Production Technician II</c:v>
                </c:pt>
                <c:pt idx="4">
                  <c:v>Production Technician I</c:v>
                </c:pt>
              </c:strCache>
            </c:strRef>
          </c:cat>
          <c:val>
            <c:numRef>
              <c:f>Analysis!$AD$11:$AD$16</c:f>
              <c:numCache>
                <c:formatCode>General</c:formatCode>
                <c:ptCount val="5"/>
                <c:pt idx="0">
                  <c:v>8</c:v>
                </c:pt>
                <c:pt idx="1">
                  <c:v>9</c:v>
                </c:pt>
                <c:pt idx="2">
                  <c:v>23</c:v>
                </c:pt>
                <c:pt idx="3">
                  <c:v>31</c:v>
                </c:pt>
                <c:pt idx="4">
                  <c:v>85</c:v>
                </c:pt>
              </c:numCache>
            </c:numRef>
          </c:val>
          <c:extLst>
            <c:ext xmlns:c16="http://schemas.microsoft.com/office/drawing/2014/chart" uri="{C3380CC4-5D6E-409C-BE32-E72D297353CC}">
              <c16:uniqueId val="{00000000-E219-428A-8DE6-CBD07811FEDB}"/>
            </c:ext>
          </c:extLst>
        </c:ser>
        <c:dLbls>
          <c:showLegendKey val="0"/>
          <c:showVal val="0"/>
          <c:showCatName val="0"/>
          <c:showSerName val="0"/>
          <c:showPercent val="0"/>
          <c:showBubbleSize val="0"/>
        </c:dLbls>
        <c:gapWidth val="100"/>
        <c:overlap val="100"/>
        <c:axId val="694876928"/>
        <c:axId val="694877408"/>
      </c:barChart>
      <c:catAx>
        <c:axId val="694876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694877408"/>
        <c:crosses val="autoZero"/>
        <c:auto val="1"/>
        <c:lblAlgn val="ctr"/>
        <c:lblOffset val="100"/>
        <c:noMultiLvlLbl val="0"/>
      </c:catAx>
      <c:valAx>
        <c:axId val="694877408"/>
        <c:scaling>
          <c:orientation val="minMax"/>
        </c:scaling>
        <c:delete val="1"/>
        <c:axPos val="b"/>
        <c:numFmt formatCode="General" sourceLinked="1"/>
        <c:majorTickMark val="none"/>
        <c:minorTickMark val="none"/>
        <c:tickLblPos val="nextTo"/>
        <c:crossAx val="6948769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1676201844037638"/>
          <c:y val="0.11954670870074788"/>
          <c:w val="0.37575037376057452"/>
          <c:h val="0.7704144102732452"/>
        </c:manualLayout>
      </c:layout>
      <c:doughnutChart>
        <c:varyColors val="1"/>
        <c:ser>
          <c:idx val="0"/>
          <c:order val="0"/>
          <c:tx>
            <c:v>Gauge</c:v>
          </c:tx>
          <c:spPr>
            <a:gradFill flip="none" rotWithShape="1">
              <a:gsLst>
                <a:gs pos="0">
                  <a:srgbClr val="4492DA"/>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a:noFill/>
            </a:ln>
          </c:spPr>
          <c:dPt>
            <c:idx val="0"/>
            <c:bubble3D val="0"/>
            <c:spPr>
              <a:solidFill>
                <a:srgbClr val="418BD0"/>
              </a:solidFill>
              <a:ln w="19050">
                <a:noFill/>
              </a:ln>
              <a:effectLst/>
            </c:spPr>
            <c:extLst>
              <c:ext xmlns:c16="http://schemas.microsoft.com/office/drawing/2014/chart" uri="{C3380CC4-5D6E-409C-BE32-E72D297353CC}">
                <c16:uniqueId val="{00000001-2897-4D7A-B65A-37E5F4852EC3}"/>
              </c:ext>
            </c:extLst>
          </c:dPt>
          <c:dPt>
            <c:idx val="1"/>
            <c:bubble3D val="0"/>
            <c:spPr>
              <a:solidFill>
                <a:srgbClr val="3674AE"/>
              </a:solidFill>
              <a:ln w="19050">
                <a:noFill/>
              </a:ln>
              <a:effectLst/>
            </c:spPr>
            <c:extLst>
              <c:ext xmlns:c16="http://schemas.microsoft.com/office/drawing/2014/chart" uri="{C3380CC4-5D6E-409C-BE32-E72D297353CC}">
                <c16:uniqueId val="{00000003-2897-4D7A-B65A-37E5F4852EC3}"/>
              </c:ext>
            </c:extLst>
          </c:dPt>
          <c:dPt>
            <c:idx val="2"/>
            <c:bubble3D val="0"/>
            <c:spPr>
              <a:solidFill>
                <a:srgbClr val="4390D9"/>
              </a:solidFill>
              <a:ln w="19050">
                <a:noFill/>
              </a:ln>
              <a:effectLst/>
            </c:spPr>
            <c:extLst>
              <c:ext xmlns:c16="http://schemas.microsoft.com/office/drawing/2014/chart" uri="{C3380CC4-5D6E-409C-BE32-E72D297353CC}">
                <c16:uniqueId val="{00000005-2897-4D7A-B65A-37E5F4852EC3}"/>
              </c:ext>
            </c:extLst>
          </c:dPt>
          <c:dPt>
            <c:idx val="3"/>
            <c:bubble3D val="0"/>
            <c:spPr>
              <a:solidFill>
                <a:srgbClr val="2B5D8C"/>
              </a:solidFill>
              <a:ln w="19050">
                <a:noFill/>
              </a:ln>
              <a:effectLst/>
            </c:spPr>
            <c:extLst>
              <c:ext xmlns:c16="http://schemas.microsoft.com/office/drawing/2014/chart" uri="{C3380CC4-5D6E-409C-BE32-E72D297353CC}">
                <c16:uniqueId val="{00000007-2897-4D7A-B65A-37E5F4852EC3}"/>
              </c:ext>
            </c:extLst>
          </c:dPt>
          <c:dPt>
            <c:idx val="4"/>
            <c:bubble3D val="0"/>
            <c:spPr>
              <a:solidFill>
                <a:srgbClr val="21476A"/>
              </a:solidFill>
              <a:ln w="19050">
                <a:noFill/>
              </a:ln>
              <a:effectLst/>
            </c:spPr>
            <c:extLst>
              <c:ext xmlns:c16="http://schemas.microsoft.com/office/drawing/2014/chart" uri="{C3380CC4-5D6E-409C-BE32-E72D297353CC}">
                <c16:uniqueId val="{00000009-2897-4D7A-B65A-37E5F4852EC3}"/>
              </c:ext>
            </c:extLst>
          </c:dPt>
          <c:dPt>
            <c:idx val="5"/>
            <c:bubble3D val="0"/>
            <c:spPr>
              <a:noFill/>
              <a:ln w="19050">
                <a:noFill/>
              </a:ln>
              <a:effectLst/>
            </c:spPr>
            <c:extLst>
              <c:ext xmlns:c16="http://schemas.microsoft.com/office/drawing/2014/chart" uri="{C3380CC4-5D6E-409C-BE32-E72D297353CC}">
                <c16:uniqueId val="{0000000B-2897-4D7A-B65A-37E5F4852EC3}"/>
              </c:ext>
            </c:extLst>
          </c:dPt>
          <c:val>
            <c:numRef>
              <c:f>Analysis!$AP$11:$AP$16</c:f>
              <c:numCache>
                <c:formatCode>General</c:formatCode>
                <c:ptCount val="6"/>
                <c:pt idx="0">
                  <c:v>1</c:v>
                </c:pt>
                <c:pt idx="1">
                  <c:v>1</c:v>
                </c:pt>
                <c:pt idx="2">
                  <c:v>1</c:v>
                </c:pt>
                <c:pt idx="3">
                  <c:v>1</c:v>
                </c:pt>
                <c:pt idx="4">
                  <c:v>1</c:v>
                </c:pt>
                <c:pt idx="5">
                  <c:v>5</c:v>
                </c:pt>
              </c:numCache>
            </c:numRef>
          </c:val>
          <c:extLst>
            <c:ext xmlns:c16="http://schemas.microsoft.com/office/drawing/2014/chart" uri="{C3380CC4-5D6E-409C-BE32-E72D297353CC}">
              <c16:uniqueId val="{0000000C-2897-4D7A-B65A-37E5F4852EC3}"/>
            </c:ext>
          </c:extLst>
        </c:ser>
        <c:dLbls>
          <c:showLegendKey val="0"/>
          <c:showVal val="0"/>
          <c:showCatName val="0"/>
          <c:showSerName val="0"/>
          <c:showPercent val="0"/>
          <c:showBubbleSize val="0"/>
          <c:showLeaderLines val="1"/>
        </c:dLbls>
        <c:firstSliceAng val="270"/>
        <c:holeSize val="75"/>
      </c:doughnutChart>
      <c:pieChart>
        <c:varyColors val="0"/>
        <c:ser>
          <c:idx val="1"/>
          <c:order val="1"/>
          <c:tx>
            <c:v>Pointer</c:v>
          </c:tx>
          <c:spPr>
            <a:noFill/>
            <a:ln w="19050">
              <a:noFill/>
            </a:ln>
            <a:effectLst/>
          </c:spPr>
          <c:dPt>
            <c:idx val="0"/>
            <c:bubble3D val="0"/>
            <c:spPr>
              <a:noFill/>
              <a:ln w="19050">
                <a:noFill/>
              </a:ln>
              <a:effectLst/>
            </c:spPr>
            <c:extLst>
              <c:ext xmlns:c16="http://schemas.microsoft.com/office/drawing/2014/chart" uri="{C3380CC4-5D6E-409C-BE32-E72D297353CC}">
                <c16:uniqueId val="{0000000E-2897-4D7A-B65A-37E5F4852EC3}"/>
              </c:ext>
            </c:extLst>
          </c:dPt>
          <c:dPt>
            <c:idx val="1"/>
            <c:bubble3D val="0"/>
            <c:spPr>
              <a:solidFill>
                <a:srgbClr val="01FEEE"/>
              </a:solidFill>
              <a:ln w="19050">
                <a:noFill/>
              </a:ln>
              <a:effectLst/>
            </c:spPr>
            <c:extLst>
              <c:ext xmlns:c16="http://schemas.microsoft.com/office/drawing/2014/chart" uri="{C3380CC4-5D6E-409C-BE32-E72D297353CC}">
                <c16:uniqueId val="{00000010-2897-4D7A-B65A-37E5F4852EC3}"/>
              </c:ext>
            </c:extLst>
          </c:dPt>
          <c:dPt>
            <c:idx val="2"/>
            <c:bubble3D val="0"/>
            <c:spPr>
              <a:noFill/>
              <a:ln w="19050">
                <a:noFill/>
              </a:ln>
              <a:effectLst/>
            </c:spPr>
            <c:extLst>
              <c:ext xmlns:c16="http://schemas.microsoft.com/office/drawing/2014/chart" uri="{C3380CC4-5D6E-409C-BE32-E72D297353CC}">
                <c16:uniqueId val="{00000012-2897-4D7A-B65A-37E5F4852EC3}"/>
              </c:ext>
            </c:extLst>
          </c:dPt>
          <c:val>
            <c:numRef>
              <c:f>Analysis!$AS$11:$AS$13</c:f>
              <c:numCache>
                <c:formatCode>General</c:formatCode>
                <c:ptCount val="3"/>
                <c:pt idx="0">
                  <c:v>3.8906752411575565</c:v>
                </c:pt>
                <c:pt idx="1">
                  <c:v>0.1</c:v>
                </c:pt>
                <c:pt idx="2">
                  <c:v>6.0093247588424443</c:v>
                </c:pt>
              </c:numCache>
            </c:numRef>
          </c:val>
          <c:extLst>
            <c:ext xmlns:c16="http://schemas.microsoft.com/office/drawing/2014/chart" uri="{C3380CC4-5D6E-409C-BE32-E72D297353CC}">
              <c16:uniqueId val="{00000013-2897-4D7A-B65A-37E5F4852EC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chart" Target="../charts/chart5.xml"/><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78056</xdr:colOff>
      <xdr:row>0</xdr:row>
      <xdr:rowOff>139593</xdr:rowOff>
    </xdr:from>
    <xdr:to>
      <xdr:col>4</xdr:col>
      <xdr:colOff>104502</xdr:colOff>
      <xdr:row>36</xdr:row>
      <xdr:rowOff>145061</xdr:rowOff>
    </xdr:to>
    <xdr:sp macro="" textlink="">
      <xdr:nvSpPr>
        <xdr:cNvPr id="111" name="Rectangle: Rounded Corners 110">
          <a:extLst>
            <a:ext uri="{FF2B5EF4-FFF2-40B4-BE49-F238E27FC236}">
              <a16:creationId xmlns:a16="http://schemas.microsoft.com/office/drawing/2014/main" id="{3B467F50-FC47-455D-A67B-3270C784824F}"/>
            </a:ext>
          </a:extLst>
        </xdr:cNvPr>
        <xdr:cNvSpPr/>
      </xdr:nvSpPr>
      <xdr:spPr>
        <a:xfrm>
          <a:off x="78056" y="139593"/>
          <a:ext cx="2464846" cy="6589148"/>
        </a:xfrm>
        <a:prstGeom prst="roundRect">
          <a:avLst>
            <a:gd name="adj" fmla="val 12139"/>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bg1"/>
            </a:solidFill>
            <a:latin typeface="+mn-lt"/>
            <a:ea typeface="+mn-ea"/>
            <a:cs typeface="+mn-cs"/>
          </a:endParaRPr>
        </a:p>
      </xdr:txBody>
    </xdr:sp>
    <xdr:clientData/>
  </xdr:twoCellAnchor>
  <xdr:twoCellAnchor>
    <xdr:from>
      <xdr:col>19</xdr:col>
      <xdr:colOff>466165</xdr:colOff>
      <xdr:row>1</xdr:row>
      <xdr:rowOff>6332</xdr:rowOff>
    </xdr:from>
    <xdr:to>
      <xdr:col>23</xdr:col>
      <xdr:colOff>187765</xdr:colOff>
      <xdr:row>6</xdr:row>
      <xdr:rowOff>152220</xdr:rowOff>
    </xdr:to>
    <xdr:sp macro="" textlink="">
      <xdr:nvSpPr>
        <xdr:cNvPr id="59" name="Rectangle: Rounded Corners 58">
          <a:extLst>
            <a:ext uri="{FF2B5EF4-FFF2-40B4-BE49-F238E27FC236}">
              <a16:creationId xmlns:a16="http://schemas.microsoft.com/office/drawing/2014/main" id="{FF7B1A44-7604-43A9-A94C-EBC1CC91E30E}"/>
            </a:ext>
          </a:extLst>
        </xdr:cNvPr>
        <xdr:cNvSpPr/>
      </xdr:nvSpPr>
      <xdr:spPr>
        <a:xfrm>
          <a:off x="12048565" y="189212"/>
          <a:ext cx="2160000" cy="1060288"/>
        </a:xfrm>
        <a:prstGeom prst="roundRect">
          <a:avLst/>
        </a:prstGeom>
        <a:solidFill>
          <a:srgbClr val="171D31"/>
        </a:solidFill>
        <a:ln w="19050">
          <a:noFill/>
        </a:ln>
        <a:effectLst>
          <a:outerShdw blurRad="50800" dist="38100" dir="5400000" algn="t" rotWithShape="0">
            <a:schemeClr val="bg1">
              <a:alpha val="32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p>
      </xdr:txBody>
    </xdr:sp>
    <xdr:clientData/>
  </xdr:twoCellAnchor>
  <xdr:twoCellAnchor>
    <xdr:from>
      <xdr:col>12</xdr:col>
      <xdr:colOff>77482</xdr:colOff>
      <xdr:row>0</xdr:row>
      <xdr:rowOff>169416</xdr:rowOff>
    </xdr:from>
    <xdr:to>
      <xdr:col>15</xdr:col>
      <xdr:colOff>408682</xdr:colOff>
      <xdr:row>6</xdr:row>
      <xdr:rowOff>143636</xdr:rowOff>
    </xdr:to>
    <xdr:sp macro="" textlink="">
      <xdr:nvSpPr>
        <xdr:cNvPr id="57" name="Rectangle: Rounded Corners 56">
          <a:extLst>
            <a:ext uri="{FF2B5EF4-FFF2-40B4-BE49-F238E27FC236}">
              <a16:creationId xmlns:a16="http://schemas.microsoft.com/office/drawing/2014/main" id="{8E58763C-966B-4A34-AD6E-A254D4EBD4F2}"/>
            </a:ext>
          </a:extLst>
        </xdr:cNvPr>
        <xdr:cNvSpPr/>
      </xdr:nvSpPr>
      <xdr:spPr>
        <a:xfrm>
          <a:off x="7392682" y="169416"/>
          <a:ext cx="2160000" cy="1071500"/>
        </a:xfrm>
        <a:prstGeom prst="roundRect">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a:p>
      </xdr:txBody>
    </xdr:sp>
    <xdr:clientData/>
  </xdr:twoCellAnchor>
  <xdr:twoCellAnchor>
    <xdr:from>
      <xdr:col>8</xdr:col>
      <xdr:colOff>152400</xdr:colOff>
      <xdr:row>0</xdr:row>
      <xdr:rowOff>160833</xdr:rowOff>
    </xdr:from>
    <xdr:to>
      <xdr:col>11</xdr:col>
      <xdr:colOff>483600</xdr:colOff>
      <xdr:row>6</xdr:row>
      <xdr:rowOff>135053</xdr:rowOff>
    </xdr:to>
    <xdr:sp macro="" textlink="">
      <xdr:nvSpPr>
        <xdr:cNvPr id="55" name="Rectangle: Rounded Corners 54">
          <a:extLst>
            <a:ext uri="{FF2B5EF4-FFF2-40B4-BE49-F238E27FC236}">
              <a16:creationId xmlns:a16="http://schemas.microsoft.com/office/drawing/2014/main" id="{416F87CB-56E9-409A-841E-83BF9A6F62F5}"/>
            </a:ext>
          </a:extLst>
        </xdr:cNvPr>
        <xdr:cNvSpPr/>
      </xdr:nvSpPr>
      <xdr:spPr>
        <a:xfrm>
          <a:off x="5029200" y="160833"/>
          <a:ext cx="2160000" cy="1071500"/>
        </a:xfrm>
        <a:prstGeom prst="roundRect">
          <a:avLst/>
        </a:prstGeom>
        <a:solidFill>
          <a:srgbClr val="4295D9"/>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a:p>
      </xdr:txBody>
    </xdr:sp>
    <xdr:clientData/>
  </xdr:twoCellAnchor>
  <xdr:twoCellAnchor>
    <xdr:from>
      <xdr:col>18</xdr:col>
      <xdr:colOff>35859</xdr:colOff>
      <xdr:row>22</xdr:row>
      <xdr:rowOff>109219</xdr:rowOff>
    </xdr:from>
    <xdr:to>
      <xdr:col>23</xdr:col>
      <xdr:colOff>206190</xdr:colOff>
      <xdr:row>36</xdr:row>
      <xdr:rowOff>169232</xdr:rowOff>
    </xdr:to>
    <xdr:sp macro="" textlink="">
      <xdr:nvSpPr>
        <xdr:cNvPr id="96" name="Rectangle: Rounded Corners 95">
          <a:extLst>
            <a:ext uri="{FF2B5EF4-FFF2-40B4-BE49-F238E27FC236}">
              <a16:creationId xmlns:a16="http://schemas.microsoft.com/office/drawing/2014/main" id="{EE23517D-B715-43D5-B3A5-0B7C7CC3FC58}"/>
            </a:ext>
          </a:extLst>
        </xdr:cNvPr>
        <xdr:cNvSpPr/>
      </xdr:nvSpPr>
      <xdr:spPr>
        <a:xfrm>
          <a:off x="11008659" y="4132579"/>
          <a:ext cx="3218331" cy="2620333"/>
        </a:xfrm>
        <a:prstGeom prst="roundRect">
          <a:avLst>
            <a:gd name="adj" fmla="val 10592"/>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clientData/>
  </xdr:twoCellAnchor>
  <xdr:twoCellAnchor>
    <xdr:from>
      <xdr:col>18</xdr:col>
      <xdr:colOff>30480</xdr:colOff>
      <xdr:row>7</xdr:row>
      <xdr:rowOff>71960</xdr:rowOff>
    </xdr:from>
    <xdr:to>
      <xdr:col>23</xdr:col>
      <xdr:colOff>198119</xdr:colOff>
      <xdr:row>22</xdr:row>
      <xdr:rowOff>28110</xdr:rowOff>
    </xdr:to>
    <xdr:sp macro="" textlink="">
      <xdr:nvSpPr>
        <xdr:cNvPr id="92" name="Rectangle: Rounded Corners 91">
          <a:extLst>
            <a:ext uri="{FF2B5EF4-FFF2-40B4-BE49-F238E27FC236}">
              <a16:creationId xmlns:a16="http://schemas.microsoft.com/office/drawing/2014/main" id="{EC209D3F-F6B0-4453-A5BA-C392D79CC2E8}"/>
            </a:ext>
          </a:extLst>
        </xdr:cNvPr>
        <xdr:cNvSpPr/>
      </xdr:nvSpPr>
      <xdr:spPr>
        <a:xfrm>
          <a:off x="11003280" y="1352120"/>
          <a:ext cx="3215639" cy="2699350"/>
        </a:xfrm>
        <a:prstGeom prst="roundRect">
          <a:avLst>
            <a:gd name="adj" fmla="val 11421"/>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clientData/>
  </xdr:twoCellAnchor>
  <xdr:twoCellAnchor>
    <xdr:from>
      <xdr:col>8</xdr:col>
      <xdr:colOff>150606</xdr:colOff>
      <xdr:row>7</xdr:row>
      <xdr:rowOff>64664</xdr:rowOff>
    </xdr:from>
    <xdr:to>
      <xdr:col>17</xdr:col>
      <xdr:colOff>518159</xdr:colOff>
      <xdr:row>22</xdr:row>
      <xdr:rowOff>20813</xdr:rowOff>
    </xdr:to>
    <xdr:sp macro="" textlink="">
      <xdr:nvSpPr>
        <xdr:cNvPr id="91" name="Rectangle: Rounded Corners 90">
          <a:extLst>
            <a:ext uri="{FF2B5EF4-FFF2-40B4-BE49-F238E27FC236}">
              <a16:creationId xmlns:a16="http://schemas.microsoft.com/office/drawing/2014/main" id="{0105DF52-1006-42E7-A3AB-B7BBA0EC41CA}"/>
            </a:ext>
          </a:extLst>
        </xdr:cNvPr>
        <xdr:cNvSpPr/>
      </xdr:nvSpPr>
      <xdr:spPr>
        <a:xfrm>
          <a:off x="5027406" y="1344824"/>
          <a:ext cx="5853953" cy="2699349"/>
        </a:xfrm>
        <a:prstGeom prst="roundRect">
          <a:avLst>
            <a:gd name="adj" fmla="val 7517"/>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a:p>
      </xdr:txBody>
    </xdr:sp>
    <xdr:clientData/>
  </xdr:twoCellAnchor>
  <xdr:twoCellAnchor>
    <xdr:from>
      <xdr:col>18</xdr:col>
      <xdr:colOff>50642</xdr:colOff>
      <xdr:row>23</xdr:row>
      <xdr:rowOff>173293</xdr:rowOff>
    </xdr:from>
    <xdr:to>
      <xdr:col>23</xdr:col>
      <xdr:colOff>215153</xdr:colOff>
      <xdr:row>36</xdr:row>
      <xdr:rowOff>171156</xdr:rowOff>
    </xdr:to>
    <xdr:graphicFrame macro="">
      <xdr:nvGraphicFramePr>
        <xdr:cNvPr id="45" name="Chart 44">
          <a:extLst>
            <a:ext uri="{FF2B5EF4-FFF2-40B4-BE49-F238E27FC236}">
              <a16:creationId xmlns:a16="http://schemas.microsoft.com/office/drawing/2014/main" id="{EEF6108D-2240-44E3-9236-B1883A32AF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162261</xdr:colOff>
      <xdr:row>9</xdr:row>
      <xdr:rowOff>36907</xdr:rowOff>
    </xdr:from>
    <xdr:to>
      <xdr:col>17</xdr:col>
      <xdr:colOff>484094</xdr:colOff>
      <xdr:row>21</xdr:row>
      <xdr:rowOff>116390</xdr:rowOff>
    </xdr:to>
    <xdr:graphicFrame macro="">
      <xdr:nvGraphicFramePr>
        <xdr:cNvPr id="3" name="Chart 2">
          <a:extLst>
            <a:ext uri="{FF2B5EF4-FFF2-40B4-BE49-F238E27FC236}">
              <a16:creationId xmlns:a16="http://schemas.microsoft.com/office/drawing/2014/main" id="{6B17C0AA-6F71-4075-9640-DCBD455AD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48667</xdr:colOff>
      <xdr:row>7</xdr:row>
      <xdr:rowOff>44541</xdr:rowOff>
    </xdr:from>
    <xdr:to>
      <xdr:col>23</xdr:col>
      <xdr:colOff>348343</xdr:colOff>
      <xdr:row>22</xdr:row>
      <xdr:rowOff>38856</xdr:rowOff>
    </xdr:to>
    <xdr:graphicFrame macro="">
      <xdr:nvGraphicFramePr>
        <xdr:cNvPr id="4" name="Chart 3">
          <a:extLst>
            <a:ext uri="{FF2B5EF4-FFF2-40B4-BE49-F238E27FC236}">
              <a16:creationId xmlns:a16="http://schemas.microsoft.com/office/drawing/2014/main" id="{07BCCC36-2FAC-4998-A3D6-53AEA0C385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163286</xdr:colOff>
      <xdr:row>1</xdr:row>
      <xdr:rowOff>72367</xdr:rowOff>
    </xdr:from>
    <xdr:to>
      <xdr:col>11</xdr:col>
      <xdr:colOff>487964</xdr:colOff>
      <xdr:row>2</xdr:row>
      <xdr:rowOff>118713</xdr:rowOff>
    </xdr:to>
    <xdr:sp macro="" textlink="">
      <xdr:nvSpPr>
        <xdr:cNvPr id="62" name="TextBox 61">
          <a:extLst>
            <a:ext uri="{FF2B5EF4-FFF2-40B4-BE49-F238E27FC236}">
              <a16:creationId xmlns:a16="http://schemas.microsoft.com/office/drawing/2014/main" id="{CE0EC3FC-828A-4C98-B6E6-836CC1DB2361}"/>
            </a:ext>
          </a:extLst>
        </xdr:cNvPr>
        <xdr:cNvSpPr txBox="1"/>
      </xdr:nvSpPr>
      <xdr:spPr>
        <a:xfrm>
          <a:off x="5040086" y="255247"/>
          <a:ext cx="2153478" cy="229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500" b="1">
              <a:solidFill>
                <a:schemeClr val="bg1"/>
              </a:solidFill>
              <a:latin typeface="Arial Rounded MT Bold" panose="020F0704030504030204" pitchFamily="34" charset="0"/>
            </a:rPr>
            <a:t>Active</a:t>
          </a:r>
          <a:endParaRPr lang="en-PH" sz="1500" b="1" baseline="0">
            <a:solidFill>
              <a:schemeClr val="bg1"/>
            </a:solidFill>
            <a:latin typeface="Arial Rounded MT Bold" panose="020F0704030504030204" pitchFamily="34" charset="0"/>
          </a:endParaRPr>
        </a:p>
      </xdr:txBody>
    </xdr:sp>
    <xdr:clientData/>
  </xdr:twoCellAnchor>
  <xdr:twoCellAnchor>
    <xdr:from>
      <xdr:col>12</xdr:col>
      <xdr:colOff>53009</xdr:colOff>
      <xdr:row>1</xdr:row>
      <xdr:rowOff>15889</xdr:rowOff>
    </xdr:from>
    <xdr:to>
      <xdr:col>15</xdr:col>
      <xdr:colOff>371061</xdr:colOff>
      <xdr:row>2</xdr:row>
      <xdr:rowOff>62235</xdr:rowOff>
    </xdr:to>
    <xdr:sp macro="" textlink="">
      <xdr:nvSpPr>
        <xdr:cNvPr id="63" name="TextBox 62">
          <a:extLst>
            <a:ext uri="{FF2B5EF4-FFF2-40B4-BE49-F238E27FC236}">
              <a16:creationId xmlns:a16="http://schemas.microsoft.com/office/drawing/2014/main" id="{07594567-3230-4A77-9B9F-464A80DB4796}"/>
            </a:ext>
          </a:extLst>
        </xdr:cNvPr>
        <xdr:cNvSpPr txBox="1"/>
      </xdr:nvSpPr>
      <xdr:spPr>
        <a:xfrm>
          <a:off x="7368209" y="198769"/>
          <a:ext cx="2146852" cy="229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Arial Rounded MT Bold" panose="020F0704030504030204" pitchFamily="34" charset="0"/>
            </a:rPr>
            <a:t>Department</a:t>
          </a:r>
        </a:p>
      </xdr:txBody>
    </xdr:sp>
    <xdr:clientData/>
  </xdr:twoCellAnchor>
  <xdr:twoCellAnchor>
    <xdr:from>
      <xdr:col>19</xdr:col>
      <xdr:colOff>467334</xdr:colOff>
      <xdr:row>1</xdr:row>
      <xdr:rowOff>16274</xdr:rowOff>
    </xdr:from>
    <xdr:to>
      <xdr:col>23</xdr:col>
      <xdr:colOff>172278</xdr:colOff>
      <xdr:row>2</xdr:row>
      <xdr:rowOff>62620</xdr:rowOff>
    </xdr:to>
    <xdr:sp macro="" textlink="">
      <xdr:nvSpPr>
        <xdr:cNvPr id="65" name="TextBox 64">
          <a:extLst>
            <a:ext uri="{FF2B5EF4-FFF2-40B4-BE49-F238E27FC236}">
              <a16:creationId xmlns:a16="http://schemas.microsoft.com/office/drawing/2014/main" id="{0FFEBB49-8DEE-4907-AE1A-B55542E46521}"/>
            </a:ext>
          </a:extLst>
        </xdr:cNvPr>
        <xdr:cNvSpPr txBox="1"/>
      </xdr:nvSpPr>
      <xdr:spPr>
        <a:xfrm>
          <a:off x="12049734" y="199154"/>
          <a:ext cx="2143344" cy="229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Arial Rounded MT Bold" panose="020F0704030504030204" pitchFamily="34" charset="0"/>
            </a:rPr>
            <a:t>Average</a:t>
          </a:r>
          <a:r>
            <a:rPr lang="en-PH" sz="1200" b="1" baseline="0">
              <a:solidFill>
                <a:schemeClr val="bg1"/>
              </a:solidFill>
              <a:latin typeface="Arial Rounded MT Bold" panose="020F0704030504030204" pitchFamily="34" charset="0"/>
            </a:rPr>
            <a:t> Salary USD</a:t>
          </a:r>
          <a:endParaRPr lang="en-PH" sz="1200" b="1">
            <a:solidFill>
              <a:schemeClr val="bg1"/>
            </a:solidFill>
            <a:latin typeface="Arial Rounded MT Bold" panose="020F0704030504030204" pitchFamily="34" charset="0"/>
          </a:endParaRPr>
        </a:p>
      </xdr:txBody>
    </xdr:sp>
    <xdr:clientData/>
  </xdr:twoCellAnchor>
  <xdr:twoCellAnchor>
    <xdr:from>
      <xdr:col>8</xdr:col>
      <xdr:colOff>304801</xdr:colOff>
      <xdr:row>2</xdr:row>
      <xdr:rowOff>167931</xdr:rowOff>
    </xdr:from>
    <xdr:to>
      <xdr:col>12</xdr:col>
      <xdr:colOff>26895</xdr:colOff>
      <xdr:row>5</xdr:row>
      <xdr:rowOff>135889</xdr:rowOff>
    </xdr:to>
    <xdr:sp macro="" textlink="Analysis!$E$10">
      <xdr:nvSpPr>
        <xdr:cNvPr id="68" name="TextBox 67">
          <a:extLst>
            <a:ext uri="{FF2B5EF4-FFF2-40B4-BE49-F238E27FC236}">
              <a16:creationId xmlns:a16="http://schemas.microsoft.com/office/drawing/2014/main" id="{775D2A90-BCBB-432D-9485-6BC655A09C12}"/>
            </a:ext>
          </a:extLst>
        </xdr:cNvPr>
        <xdr:cNvSpPr txBox="1"/>
      </xdr:nvSpPr>
      <xdr:spPr>
        <a:xfrm>
          <a:off x="5181601" y="533691"/>
          <a:ext cx="2160494" cy="516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0DD520-2ED7-4818-8D68-A717A33A5DC6}" type="TxLink">
            <a:rPr lang="en-US" sz="3000" b="1" i="0" u="none" strike="noStrike">
              <a:solidFill>
                <a:schemeClr val="bg1"/>
              </a:solidFill>
              <a:latin typeface="Arial Rounded MT Bold" panose="020F0704030504030204" pitchFamily="34" charset="0"/>
              <a:ea typeface="Calibri"/>
              <a:cs typeface="Calibri"/>
            </a:rPr>
            <a:pPr algn="ctr"/>
            <a:t>207</a:t>
          </a:fld>
          <a:endParaRPr lang="en-US" sz="3000" b="1">
            <a:solidFill>
              <a:schemeClr val="bg1"/>
            </a:solidFill>
            <a:latin typeface="Arial Rounded MT Bold" panose="020F0704030504030204" pitchFamily="34" charset="0"/>
          </a:endParaRPr>
        </a:p>
      </xdr:txBody>
    </xdr:sp>
    <xdr:clientData/>
  </xdr:twoCellAnchor>
  <xdr:twoCellAnchor>
    <xdr:from>
      <xdr:col>12</xdr:col>
      <xdr:colOff>587828</xdr:colOff>
      <xdr:row>2</xdr:row>
      <xdr:rowOff>138770</xdr:rowOff>
    </xdr:from>
    <xdr:to>
      <xdr:col>15</xdr:col>
      <xdr:colOff>378077</xdr:colOff>
      <xdr:row>5</xdr:row>
      <xdr:rowOff>106728</xdr:rowOff>
    </xdr:to>
    <xdr:sp macro="" textlink="Analysis!I8">
      <xdr:nvSpPr>
        <xdr:cNvPr id="77" name="TextBox 76">
          <a:extLst>
            <a:ext uri="{FF2B5EF4-FFF2-40B4-BE49-F238E27FC236}">
              <a16:creationId xmlns:a16="http://schemas.microsoft.com/office/drawing/2014/main" id="{290C1F51-B9E7-409B-A12E-051DCD531352}"/>
            </a:ext>
          </a:extLst>
        </xdr:cNvPr>
        <xdr:cNvSpPr txBox="1"/>
      </xdr:nvSpPr>
      <xdr:spPr>
        <a:xfrm>
          <a:off x="7903028" y="504530"/>
          <a:ext cx="1619049" cy="516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B6820F-94F5-4E6D-986C-CB2F2E9EA128}" type="TxLink">
            <a:rPr lang="en-US" sz="3000" b="0" i="0" u="none" strike="noStrike">
              <a:solidFill>
                <a:schemeClr val="bg1"/>
              </a:solidFill>
              <a:latin typeface="Arial Rounded MT Bold" panose="020F0704030504030204" pitchFamily="34" charset="0"/>
              <a:ea typeface="Calibri"/>
              <a:cs typeface="Calibri"/>
            </a:rPr>
            <a:pPr algn="ctr"/>
            <a:t>6</a:t>
          </a:fld>
          <a:endParaRPr lang="en-PH" sz="3000" b="1">
            <a:solidFill>
              <a:schemeClr val="bg1"/>
            </a:solidFill>
            <a:latin typeface="Arial Rounded MT Bold" panose="020F0704030504030204" pitchFamily="34" charset="0"/>
          </a:endParaRPr>
        </a:p>
      </xdr:txBody>
    </xdr:sp>
    <xdr:clientData/>
  </xdr:twoCellAnchor>
  <xdr:twoCellAnchor>
    <xdr:from>
      <xdr:col>19</xdr:col>
      <xdr:colOff>457201</xdr:colOff>
      <xdr:row>2</xdr:row>
      <xdr:rowOff>138769</xdr:rowOff>
    </xdr:from>
    <xdr:to>
      <xdr:col>23</xdr:col>
      <xdr:colOff>179295</xdr:colOff>
      <xdr:row>5</xdr:row>
      <xdr:rowOff>106727</xdr:rowOff>
    </xdr:to>
    <xdr:sp macro="" textlink="Analysis!$N$10">
      <xdr:nvSpPr>
        <xdr:cNvPr id="80" name="TextBox 79">
          <a:extLst>
            <a:ext uri="{FF2B5EF4-FFF2-40B4-BE49-F238E27FC236}">
              <a16:creationId xmlns:a16="http://schemas.microsoft.com/office/drawing/2014/main" id="{C544DA9C-245B-4308-A0D7-3E34BAA1124F}"/>
            </a:ext>
          </a:extLst>
        </xdr:cNvPr>
        <xdr:cNvSpPr txBox="1"/>
      </xdr:nvSpPr>
      <xdr:spPr>
        <a:xfrm>
          <a:off x="12039601" y="504529"/>
          <a:ext cx="2160494" cy="516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7F9AEE-092E-45E4-89A4-C70EBB0651C8}" type="TxLink">
            <a:rPr lang="en-US" sz="3000" b="0" i="0" u="none" strike="noStrike">
              <a:solidFill>
                <a:schemeClr val="bg1"/>
              </a:solidFill>
              <a:latin typeface="Arial Rounded MT Bold" panose="020F0704030504030204" pitchFamily="34" charset="0"/>
              <a:ea typeface="Calibri"/>
              <a:cs typeface="Calibri"/>
            </a:rPr>
            <a:pPr algn="ctr"/>
            <a:t>$70,694.03</a:t>
          </a:fld>
          <a:endParaRPr lang="en-PH" sz="3000" b="0">
            <a:solidFill>
              <a:schemeClr val="bg1"/>
            </a:solidFill>
            <a:latin typeface="Arial Rounded MT Bold" panose="020F0704030504030204" pitchFamily="34" charset="0"/>
          </a:endParaRPr>
        </a:p>
      </xdr:txBody>
    </xdr:sp>
    <xdr:clientData/>
  </xdr:twoCellAnchor>
  <xdr:twoCellAnchor>
    <xdr:from>
      <xdr:col>9</xdr:col>
      <xdr:colOff>413658</xdr:colOff>
      <xdr:row>22</xdr:row>
      <xdr:rowOff>136008</xdr:rowOff>
    </xdr:from>
    <xdr:to>
      <xdr:col>17</xdr:col>
      <xdr:colOff>519954</xdr:colOff>
      <xdr:row>37</xdr:row>
      <xdr:rowOff>5526</xdr:rowOff>
    </xdr:to>
    <xdr:sp macro="" textlink="">
      <xdr:nvSpPr>
        <xdr:cNvPr id="94" name="Rectangle: Rounded Corners 93">
          <a:extLst>
            <a:ext uri="{FF2B5EF4-FFF2-40B4-BE49-F238E27FC236}">
              <a16:creationId xmlns:a16="http://schemas.microsoft.com/office/drawing/2014/main" id="{16474292-C1FD-47BE-83CF-9CE985C4FB3F}"/>
            </a:ext>
          </a:extLst>
        </xdr:cNvPr>
        <xdr:cNvSpPr/>
      </xdr:nvSpPr>
      <xdr:spPr>
        <a:xfrm>
          <a:off x="5900058" y="4159368"/>
          <a:ext cx="4983096" cy="2612718"/>
        </a:xfrm>
        <a:prstGeom prst="roundRect">
          <a:avLst>
            <a:gd name="adj" fmla="val 10114"/>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clientData/>
  </xdr:twoCellAnchor>
  <xdr:twoCellAnchor>
    <xdr:from>
      <xdr:col>15</xdr:col>
      <xdr:colOff>576500</xdr:colOff>
      <xdr:row>0</xdr:row>
      <xdr:rowOff>169416</xdr:rowOff>
    </xdr:from>
    <xdr:to>
      <xdr:col>19</xdr:col>
      <xdr:colOff>298100</xdr:colOff>
      <xdr:row>6</xdr:row>
      <xdr:rowOff>143636</xdr:rowOff>
    </xdr:to>
    <xdr:sp macro="" textlink="">
      <xdr:nvSpPr>
        <xdr:cNvPr id="58" name="Rectangle: Rounded Corners 57">
          <a:extLst>
            <a:ext uri="{FF2B5EF4-FFF2-40B4-BE49-F238E27FC236}">
              <a16:creationId xmlns:a16="http://schemas.microsoft.com/office/drawing/2014/main" id="{54102932-A01A-4F96-9E0F-1086CE8A8ADE}"/>
            </a:ext>
          </a:extLst>
        </xdr:cNvPr>
        <xdr:cNvSpPr/>
      </xdr:nvSpPr>
      <xdr:spPr>
        <a:xfrm>
          <a:off x="9720500" y="169416"/>
          <a:ext cx="2160000" cy="1071500"/>
        </a:xfrm>
        <a:prstGeom prst="roundRect">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p>
      </xdr:txBody>
    </xdr:sp>
    <xdr:clientData/>
  </xdr:twoCellAnchor>
  <xdr:twoCellAnchor>
    <xdr:from>
      <xdr:col>9</xdr:col>
      <xdr:colOff>555171</xdr:colOff>
      <xdr:row>22</xdr:row>
      <xdr:rowOff>119531</xdr:rowOff>
    </xdr:from>
    <xdr:to>
      <xdr:col>17</xdr:col>
      <xdr:colOff>519953</xdr:colOff>
      <xdr:row>36</xdr:row>
      <xdr:rowOff>160373</xdr:rowOff>
    </xdr:to>
    <xdr:graphicFrame macro="">
      <xdr:nvGraphicFramePr>
        <xdr:cNvPr id="117" name="Chart 116">
          <a:extLst>
            <a:ext uri="{FF2B5EF4-FFF2-40B4-BE49-F238E27FC236}">
              <a16:creationId xmlns:a16="http://schemas.microsoft.com/office/drawing/2014/main" id="{C48B3F18-F469-408E-853F-2DD38E1308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278802</xdr:colOff>
      <xdr:row>7</xdr:row>
      <xdr:rowOff>72381</xdr:rowOff>
    </xdr:from>
    <xdr:to>
      <xdr:col>8</xdr:col>
      <xdr:colOff>9862</xdr:colOff>
      <xdr:row>22</xdr:row>
      <xdr:rowOff>10068</xdr:rowOff>
    </xdr:to>
    <xdr:sp macro="" textlink="">
      <xdr:nvSpPr>
        <xdr:cNvPr id="100" name="Rectangle: Rounded Corners 99">
          <a:extLst>
            <a:ext uri="{FF2B5EF4-FFF2-40B4-BE49-F238E27FC236}">
              <a16:creationId xmlns:a16="http://schemas.microsoft.com/office/drawing/2014/main" id="{0B9A153A-BF72-433F-A820-8AD766147D2D}"/>
            </a:ext>
          </a:extLst>
        </xdr:cNvPr>
        <xdr:cNvSpPr/>
      </xdr:nvSpPr>
      <xdr:spPr>
        <a:xfrm>
          <a:off x="2717202" y="1327440"/>
          <a:ext cx="2169460" cy="2627099"/>
        </a:xfrm>
        <a:prstGeom prst="roundRect">
          <a:avLst>
            <a:gd name="adj" fmla="val 5986"/>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clientData/>
  </xdr:twoCellAnchor>
  <xdr:twoCellAnchor>
    <xdr:from>
      <xdr:col>4</xdr:col>
      <xdr:colOff>419043</xdr:colOff>
      <xdr:row>19</xdr:row>
      <xdr:rowOff>17067</xdr:rowOff>
    </xdr:from>
    <xdr:to>
      <xdr:col>6</xdr:col>
      <xdr:colOff>6166</xdr:colOff>
      <xdr:row>20</xdr:row>
      <xdr:rowOff>94994</xdr:rowOff>
    </xdr:to>
    <xdr:sp macro="" textlink="Analysis!$U$10">
      <xdr:nvSpPr>
        <xdr:cNvPr id="34" name="Rectangle 33">
          <a:extLst>
            <a:ext uri="{FF2B5EF4-FFF2-40B4-BE49-F238E27FC236}">
              <a16:creationId xmlns:a16="http://schemas.microsoft.com/office/drawing/2014/main" id="{CBEF35BB-C6BB-4B9C-A100-EC0499CCEFE9}"/>
            </a:ext>
          </a:extLst>
        </xdr:cNvPr>
        <xdr:cNvSpPr/>
      </xdr:nvSpPr>
      <xdr:spPr>
        <a:xfrm>
          <a:off x="2857443" y="3423655"/>
          <a:ext cx="806323" cy="25722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B445525-CADF-4F5D-9E0C-E42E0B5C9D31}" type="TxLink">
            <a:rPr lang="en-US" sz="1100" b="0" i="1" u="none" strike="noStrike">
              <a:solidFill>
                <a:srgbClr val="D514D9"/>
              </a:solidFill>
              <a:latin typeface="Arial Rounded MT Bold" panose="020F0704030504030204" pitchFamily="34" charset="0"/>
              <a:ea typeface="Calibri"/>
              <a:cs typeface="Calibri"/>
            </a:rPr>
            <a:pPr algn="ctr"/>
            <a:t>116</a:t>
          </a:fld>
          <a:endParaRPr lang="en-PH" sz="1100" b="1" i="1">
            <a:solidFill>
              <a:srgbClr val="D514D9"/>
            </a:solidFill>
            <a:latin typeface="Arial Rounded MT Bold" panose="020F0704030504030204" pitchFamily="34" charset="0"/>
          </a:endParaRPr>
        </a:p>
      </xdr:txBody>
    </xdr:sp>
    <xdr:clientData/>
  </xdr:twoCellAnchor>
  <xdr:twoCellAnchor>
    <xdr:from>
      <xdr:col>6</xdr:col>
      <xdr:colOff>232809</xdr:colOff>
      <xdr:row>19</xdr:row>
      <xdr:rowOff>20635</xdr:rowOff>
    </xdr:from>
    <xdr:to>
      <xdr:col>7</xdr:col>
      <xdr:colOff>429532</xdr:colOff>
      <xdr:row>20</xdr:row>
      <xdr:rowOff>98562</xdr:rowOff>
    </xdr:to>
    <xdr:sp macro="" textlink="Analysis!$R$10">
      <xdr:nvSpPr>
        <xdr:cNvPr id="41" name="Rectangle 40">
          <a:extLst>
            <a:ext uri="{FF2B5EF4-FFF2-40B4-BE49-F238E27FC236}">
              <a16:creationId xmlns:a16="http://schemas.microsoft.com/office/drawing/2014/main" id="{34DD3D67-31F9-45FD-924D-DA4EE6C3847E}"/>
            </a:ext>
          </a:extLst>
        </xdr:cNvPr>
        <xdr:cNvSpPr/>
      </xdr:nvSpPr>
      <xdr:spPr>
        <a:xfrm>
          <a:off x="3890409" y="3427223"/>
          <a:ext cx="806323" cy="25722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CB61118-2CC8-431B-A51B-F3D2DED37027}" type="TxLink">
            <a:rPr lang="en-US" sz="1100" b="0" i="1" u="none" strike="noStrike">
              <a:solidFill>
                <a:srgbClr val="4394DB"/>
              </a:solidFill>
              <a:latin typeface="Arial Rounded MT Bold" panose="020F0704030504030204" pitchFamily="34" charset="0"/>
              <a:ea typeface="Calibri"/>
              <a:cs typeface="Calibri"/>
            </a:rPr>
            <a:pPr algn="ctr"/>
            <a:t>91</a:t>
          </a:fld>
          <a:endParaRPr lang="en-PH" sz="1100" b="1" i="1">
            <a:solidFill>
              <a:srgbClr val="4394DB"/>
            </a:solidFill>
            <a:latin typeface="Arial Rounded MT Bold" panose="020F0704030504030204" pitchFamily="34" charset="0"/>
          </a:endParaRPr>
        </a:p>
      </xdr:txBody>
    </xdr:sp>
    <xdr:clientData/>
  </xdr:twoCellAnchor>
  <xdr:twoCellAnchor>
    <xdr:from>
      <xdr:col>4</xdr:col>
      <xdr:colOff>271058</xdr:colOff>
      <xdr:row>8</xdr:row>
      <xdr:rowOff>6269</xdr:rowOff>
    </xdr:from>
    <xdr:to>
      <xdr:col>7</xdr:col>
      <xdr:colOff>602752</xdr:colOff>
      <xdr:row>9</xdr:row>
      <xdr:rowOff>60035</xdr:rowOff>
    </xdr:to>
    <xdr:sp macro="" textlink="">
      <xdr:nvSpPr>
        <xdr:cNvPr id="102" name="TextBox 101">
          <a:extLst>
            <a:ext uri="{FF2B5EF4-FFF2-40B4-BE49-F238E27FC236}">
              <a16:creationId xmlns:a16="http://schemas.microsoft.com/office/drawing/2014/main" id="{24EEE9FE-BFB1-4366-B295-31227D111899}"/>
            </a:ext>
          </a:extLst>
        </xdr:cNvPr>
        <xdr:cNvSpPr txBox="1"/>
      </xdr:nvSpPr>
      <xdr:spPr>
        <a:xfrm>
          <a:off x="2709458" y="1440622"/>
          <a:ext cx="2160494" cy="233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b="1">
              <a:solidFill>
                <a:schemeClr val="bg2"/>
              </a:solidFill>
              <a:latin typeface="Arial Rounded MT Bold" panose="020F0704030504030204" pitchFamily="34" charset="0"/>
            </a:rPr>
            <a:t>Gender</a:t>
          </a:r>
          <a:r>
            <a:rPr lang="en-PH" sz="1400" b="1" baseline="0">
              <a:solidFill>
                <a:schemeClr val="bg2"/>
              </a:solidFill>
              <a:latin typeface="Arial Rounded MT Bold" panose="020F0704030504030204" pitchFamily="34" charset="0"/>
            </a:rPr>
            <a:t> Distribution</a:t>
          </a:r>
          <a:endParaRPr lang="en-PH" sz="1400" b="1">
            <a:solidFill>
              <a:schemeClr val="bg2"/>
            </a:solidFill>
            <a:latin typeface="Arial Rounded MT Bold" panose="020F0704030504030204" pitchFamily="34" charset="0"/>
          </a:endParaRPr>
        </a:p>
      </xdr:txBody>
    </xdr:sp>
    <xdr:clientData/>
  </xdr:twoCellAnchor>
  <xdr:twoCellAnchor>
    <xdr:from>
      <xdr:col>4</xdr:col>
      <xdr:colOff>349149</xdr:colOff>
      <xdr:row>16</xdr:row>
      <xdr:rowOff>154926</xdr:rowOff>
    </xdr:from>
    <xdr:to>
      <xdr:col>6</xdr:col>
      <xdr:colOff>209949</xdr:colOff>
      <xdr:row>19</xdr:row>
      <xdr:rowOff>123046</xdr:rowOff>
    </xdr:to>
    <xdr:sp macro="" textlink="Analysis!V10">
      <xdr:nvSpPr>
        <xdr:cNvPr id="105" name="TextBox 104">
          <a:extLst>
            <a:ext uri="{FF2B5EF4-FFF2-40B4-BE49-F238E27FC236}">
              <a16:creationId xmlns:a16="http://schemas.microsoft.com/office/drawing/2014/main" id="{DB90C7E4-0A78-4A3F-901D-7F23DCDCF4F5}"/>
            </a:ext>
          </a:extLst>
        </xdr:cNvPr>
        <xdr:cNvSpPr txBox="1"/>
      </xdr:nvSpPr>
      <xdr:spPr>
        <a:xfrm>
          <a:off x="2787549" y="3023632"/>
          <a:ext cx="1080000" cy="506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EBAA72-DCBB-408C-B68D-EBC5A23EF919}" type="TxLink">
            <a:rPr lang="en-US" sz="2000" b="0" i="0" u="none" strike="noStrike">
              <a:solidFill>
                <a:srgbClr val="D514D9"/>
              </a:solidFill>
              <a:latin typeface="Arial Rounded MT Bold" panose="020F0704030504030204" pitchFamily="34" charset="0"/>
              <a:ea typeface="Calibri"/>
              <a:cs typeface="Calibri"/>
            </a:rPr>
            <a:pPr algn="ctr"/>
            <a:t>56%</a:t>
          </a:fld>
          <a:endParaRPr lang="en-US" sz="2000">
            <a:solidFill>
              <a:srgbClr val="D514D9"/>
            </a:solidFill>
            <a:latin typeface="Arial Rounded MT Bold" panose="020F0704030504030204" pitchFamily="34" charset="0"/>
          </a:endParaRPr>
        </a:p>
      </xdr:txBody>
    </xdr:sp>
    <xdr:clientData/>
  </xdr:twoCellAnchor>
  <xdr:twoCellAnchor>
    <xdr:from>
      <xdr:col>4</xdr:col>
      <xdr:colOff>287767</xdr:colOff>
      <xdr:row>10</xdr:row>
      <xdr:rowOff>23325</xdr:rowOff>
    </xdr:from>
    <xdr:to>
      <xdr:col>6</xdr:col>
      <xdr:colOff>148567</xdr:colOff>
      <xdr:row>11</xdr:row>
      <xdr:rowOff>75988</xdr:rowOff>
    </xdr:to>
    <xdr:sp macro="" textlink="">
      <xdr:nvSpPr>
        <xdr:cNvPr id="107" name="TextBox 106">
          <a:extLst>
            <a:ext uri="{FF2B5EF4-FFF2-40B4-BE49-F238E27FC236}">
              <a16:creationId xmlns:a16="http://schemas.microsoft.com/office/drawing/2014/main" id="{20878EC6-928D-4DC6-8322-82812C0318CE}"/>
            </a:ext>
          </a:extLst>
        </xdr:cNvPr>
        <xdr:cNvSpPr txBox="1"/>
      </xdr:nvSpPr>
      <xdr:spPr>
        <a:xfrm>
          <a:off x="2726167" y="1816266"/>
          <a:ext cx="1080000" cy="23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rgbClr val="D514D9"/>
              </a:solidFill>
              <a:latin typeface="Arial Rounded MT Bold" panose="020F0704030504030204" pitchFamily="34" charset="0"/>
            </a:rPr>
            <a:t>Female</a:t>
          </a:r>
        </a:p>
      </xdr:txBody>
    </xdr:sp>
    <xdr:clientData/>
  </xdr:twoCellAnchor>
  <xdr:twoCellAnchor>
    <xdr:from>
      <xdr:col>6</xdr:col>
      <xdr:colOff>135367</xdr:colOff>
      <xdr:row>10</xdr:row>
      <xdr:rowOff>23325</xdr:rowOff>
    </xdr:from>
    <xdr:to>
      <xdr:col>7</xdr:col>
      <xdr:colOff>605767</xdr:colOff>
      <xdr:row>11</xdr:row>
      <xdr:rowOff>75988</xdr:rowOff>
    </xdr:to>
    <xdr:sp macro="" textlink="">
      <xdr:nvSpPr>
        <xdr:cNvPr id="108" name="TextBox 107">
          <a:extLst>
            <a:ext uri="{FF2B5EF4-FFF2-40B4-BE49-F238E27FC236}">
              <a16:creationId xmlns:a16="http://schemas.microsoft.com/office/drawing/2014/main" id="{BF024CCF-CEEF-4B93-AE33-E4CA4E630523}"/>
            </a:ext>
          </a:extLst>
        </xdr:cNvPr>
        <xdr:cNvSpPr txBox="1"/>
      </xdr:nvSpPr>
      <xdr:spPr>
        <a:xfrm>
          <a:off x="3792967" y="1816266"/>
          <a:ext cx="1080000" cy="23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rgbClr val="4394DB"/>
              </a:solidFill>
              <a:latin typeface="Arial Rounded MT Bold" panose="020F0704030504030204" pitchFamily="34" charset="0"/>
            </a:rPr>
            <a:t>Male</a:t>
          </a:r>
        </a:p>
      </xdr:txBody>
    </xdr:sp>
    <xdr:clientData/>
  </xdr:twoCellAnchor>
  <xdr:twoCellAnchor>
    <xdr:from>
      <xdr:col>6</xdr:col>
      <xdr:colOff>98778</xdr:colOff>
      <xdr:row>16</xdr:row>
      <xdr:rowOff>141010</xdr:rowOff>
    </xdr:from>
    <xdr:to>
      <xdr:col>7</xdr:col>
      <xdr:colOff>569178</xdr:colOff>
      <xdr:row>19</xdr:row>
      <xdr:rowOff>109130</xdr:rowOff>
    </xdr:to>
    <xdr:sp macro="" textlink="Analysis!S10">
      <xdr:nvSpPr>
        <xdr:cNvPr id="2" name="TextBox 1">
          <a:extLst>
            <a:ext uri="{FF2B5EF4-FFF2-40B4-BE49-F238E27FC236}">
              <a16:creationId xmlns:a16="http://schemas.microsoft.com/office/drawing/2014/main" id="{6CE31393-B48E-4DDB-A47C-AB6B0C02B257}"/>
            </a:ext>
          </a:extLst>
        </xdr:cNvPr>
        <xdr:cNvSpPr txBox="1"/>
      </xdr:nvSpPr>
      <xdr:spPr>
        <a:xfrm>
          <a:off x="3756378" y="3009716"/>
          <a:ext cx="1080000" cy="506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0B54CC-9D79-40BA-95B5-C7EC5B463111}" type="TxLink">
            <a:rPr lang="en-US" sz="2000" b="0" i="0" u="none" strike="noStrike">
              <a:solidFill>
                <a:srgbClr val="4394DB"/>
              </a:solidFill>
              <a:latin typeface="Arial Rounded MT Bold" panose="020F0704030504030204" pitchFamily="34" charset="0"/>
              <a:ea typeface="Calibri"/>
              <a:cs typeface="Calibri"/>
            </a:rPr>
            <a:pPr algn="ctr"/>
            <a:t>44%</a:t>
          </a:fld>
          <a:endParaRPr lang="en-US" sz="2000">
            <a:solidFill>
              <a:srgbClr val="4394DB"/>
            </a:solidFill>
            <a:latin typeface="Arial Rounded MT Bold" panose="020F0704030504030204" pitchFamily="34" charset="0"/>
          </a:endParaRPr>
        </a:p>
      </xdr:txBody>
    </xdr:sp>
    <xdr:clientData/>
  </xdr:twoCellAnchor>
  <xdr:twoCellAnchor>
    <xdr:from>
      <xdr:col>6</xdr:col>
      <xdr:colOff>246449</xdr:colOff>
      <xdr:row>12</xdr:row>
      <xdr:rowOff>32249</xdr:rowOff>
    </xdr:from>
    <xdr:to>
      <xdr:col>7</xdr:col>
      <xdr:colOff>437530</xdr:colOff>
      <xdr:row>17</xdr:row>
      <xdr:rowOff>1556</xdr:rowOff>
    </xdr:to>
    <xdr:pic>
      <xdr:nvPicPr>
        <xdr:cNvPr id="6" name="Picture 5">
          <a:extLst>
            <a:ext uri="{FF2B5EF4-FFF2-40B4-BE49-F238E27FC236}">
              <a16:creationId xmlns:a16="http://schemas.microsoft.com/office/drawing/2014/main" id="{2F14E0D5-00D6-DEDC-23EB-A473E483699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04049" y="2183778"/>
          <a:ext cx="800681" cy="865778"/>
        </a:xfrm>
        <a:prstGeom prst="rect">
          <a:avLst/>
        </a:prstGeom>
      </xdr:spPr>
    </xdr:pic>
    <xdr:clientData/>
  </xdr:twoCellAnchor>
  <xdr:twoCellAnchor>
    <xdr:from>
      <xdr:col>4</xdr:col>
      <xdr:colOff>442834</xdr:colOff>
      <xdr:row>12</xdr:row>
      <xdr:rowOff>36010</xdr:rowOff>
    </xdr:from>
    <xdr:to>
      <xdr:col>6</xdr:col>
      <xdr:colOff>15238</xdr:colOff>
      <xdr:row>16</xdr:row>
      <xdr:rowOff>172314</xdr:rowOff>
    </xdr:to>
    <xdr:pic>
      <xdr:nvPicPr>
        <xdr:cNvPr id="8" name="Picture 7">
          <a:extLst>
            <a:ext uri="{FF2B5EF4-FFF2-40B4-BE49-F238E27FC236}">
              <a16:creationId xmlns:a16="http://schemas.microsoft.com/office/drawing/2014/main" id="{6180A158-D0AC-34AD-5DEC-F92F55EB1B7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881234" y="2187539"/>
          <a:ext cx="791604" cy="853481"/>
        </a:xfrm>
        <a:prstGeom prst="rect">
          <a:avLst/>
        </a:prstGeom>
      </xdr:spPr>
    </xdr:pic>
    <xdr:clientData/>
  </xdr:twoCellAnchor>
  <xdr:twoCellAnchor>
    <xdr:from>
      <xdr:col>15</xdr:col>
      <xdr:colOff>563217</xdr:colOff>
      <xdr:row>1</xdr:row>
      <xdr:rowOff>25133</xdr:rowOff>
    </xdr:from>
    <xdr:to>
      <xdr:col>19</xdr:col>
      <xdr:colOff>284922</xdr:colOff>
      <xdr:row>2</xdr:row>
      <xdr:rowOff>71479</xdr:rowOff>
    </xdr:to>
    <xdr:sp macro="" textlink="">
      <xdr:nvSpPr>
        <xdr:cNvPr id="64" name="TextBox 63">
          <a:extLst>
            <a:ext uri="{FF2B5EF4-FFF2-40B4-BE49-F238E27FC236}">
              <a16:creationId xmlns:a16="http://schemas.microsoft.com/office/drawing/2014/main" id="{0FE293DE-08CB-4DFF-915C-26E4D82F3919}"/>
            </a:ext>
          </a:extLst>
        </xdr:cNvPr>
        <xdr:cNvSpPr txBox="1"/>
      </xdr:nvSpPr>
      <xdr:spPr>
        <a:xfrm>
          <a:off x="9707217" y="208013"/>
          <a:ext cx="2160105" cy="229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Arial Rounded MT Bold" panose="020F0704030504030204" pitchFamily="34" charset="0"/>
            </a:rPr>
            <a:t>Position</a:t>
          </a:r>
          <a:endParaRPr lang="en-PH" sz="1200" b="1" baseline="0">
            <a:solidFill>
              <a:schemeClr val="bg1"/>
            </a:solidFill>
            <a:latin typeface="Arial Rounded MT Bold" panose="020F0704030504030204" pitchFamily="34" charset="0"/>
          </a:endParaRPr>
        </a:p>
        <a:p>
          <a:pPr algn="ctr"/>
          <a:endParaRPr lang="en-PH" sz="1200" b="1">
            <a:solidFill>
              <a:schemeClr val="bg1"/>
            </a:solidFill>
            <a:latin typeface="Arial Rounded MT Bold" panose="020F0704030504030204" pitchFamily="34" charset="0"/>
          </a:endParaRPr>
        </a:p>
      </xdr:txBody>
    </xdr:sp>
    <xdr:clientData/>
  </xdr:twoCellAnchor>
  <xdr:twoCellAnchor>
    <xdr:from>
      <xdr:col>16</xdr:col>
      <xdr:colOff>533400</xdr:colOff>
      <xdr:row>2</xdr:row>
      <xdr:rowOff>132223</xdr:rowOff>
    </xdr:from>
    <xdr:to>
      <xdr:col>19</xdr:col>
      <xdr:colOff>285311</xdr:colOff>
      <xdr:row>5</xdr:row>
      <xdr:rowOff>100181</xdr:rowOff>
    </xdr:to>
    <xdr:sp macro="" textlink="Analysis!L8">
      <xdr:nvSpPr>
        <xdr:cNvPr id="79" name="TextBox 78">
          <a:extLst>
            <a:ext uri="{FF2B5EF4-FFF2-40B4-BE49-F238E27FC236}">
              <a16:creationId xmlns:a16="http://schemas.microsoft.com/office/drawing/2014/main" id="{EB5FCB3A-AB49-4357-BA81-53AEAED451AC}"/>
            </a:ext>
          </a:extLst>
        </xdr:cNvPr>
        <xdr:cNvSpPr txBox="1"/>
      </xdr:nvSpPr>
      <xdr:spPr>
        <a:xfrm>
          <a:off x="10287000" y="497983"/>
          <a:ext cx="1580711" cy="516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22B3CD-E15A-41F6-A220-E47D236DEE80}" type="TxLink">
            <a:rPr lang="en-US" sz="3000" b="0" i="0" u="none" strike="noStrike">
              <a:solidFill>
                <a:schemeClr val="bg1"/>
              </a:solidFill>
              <a:latin typeface="Arial Rounded MT Bold" panose="020F0704030504030204" pitchFamily="34" charset="0"/>
              <a:ea typeface="Calibri"/>
              <a:cs typeface="Calibri"/>
            </a:rPr>
            <a:pPr algn="ctr"/>
            <a:t>32</a:t>
          </a:fld>
          <a:endParaRPr lang="en-PH" sz="3000" b="0">
            <a:solidFill>
              <a:schemeClr val="bg1"/>
            </a:solidFill>
            <a:latin typeface="Arial Rounded MT Bold" panose="020F0704030504030204" pitchFamily="34" charset="0"/>
          </a:endParaRPr>
        </a:p>
      </xdr:txBody>
    </xdr:sp>
    <xdr:clientData/>
  </xdr:twoCellAnchor>
  <xdr:twoCellAnchor>
    <xdr:from>
      <xdr:col>5</xdr:col>
      <xdr:colOff>600608</xdr:colOff>
      <xdr:row>30</xdr:row>
      <xdr:rowOff>17308</xdr:rowOff>
    </xdr:from>
    <xdr:to>
      <xdr:col>7</xdr:col>
      <xdr:colOff>561871</xdr:colOff>
      <xdr:row>32</xdr:row>
      <xdr:rowOff>168147</xdr:rowOff>
    </xdr:to>
    <xdr:sp macro="" textlink="Analysis!$AL$11">
      <xdr:nvSpPr>
        <xdr:cNvPr id="11" name="TextBox 10">
          <a:extLst>
            <a:ext uri="{FF2B5EF4-FFF2-40B4-BE49-F238E27FC236}">
              <a16:creationId xmlns:a16="http://schemas.microsoft.com/office/drawing/2014/main" id="{7F982089-7991-466D-B88C-FE733E94929B}"/>
            </a:ext>
          </a:extLst>
        </xdr:cNvPr>
        <xdr:cNvSpPr txBox="1"/>
      </xdr:nvSpPr>
      <xdr:spPr>
        <a:xfrm>
          <a:off x="3648608" y="5503708"/>
          <a:ext cx="1180463" cy="516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AFF117-2F98-43B1-89EE-FC329D5DB4F8}" type="TxLink">
            <a:rPr lang="en-US" sz="2500" b="0" i="0" u="none" strike="noStrike">
              <a:solidFill>
                <a:schemeClr val="bg2"/>
              </a:solidFill>
              <a:latin typeface="Arial Rounded MT Bold" panose="020F0704030504030204" pitchFamily="34" charset="0"/>
              <a:ea typeface="Calibri"/>
              <a:cs typeface="Calibri"/>
            </a:rPr>
            <a:pPr algn="ctr"/>
            <a:t>3.89</a:t>
          </a:fld>
          <a:endParaRPr lang="en-US" sz="2500" b="1">
            <a:solidFill>
              <a:schemeClr val="bg2"/>
            </a:solidFill>
            <a:latin typeface="Arial Rounded MT Bold" panose="020F0704030504030204" pitchFamily="34" charset="0"/>
          </a:endParaRPr>
        </a:p>
      </xdr:txBody>
    </xdr:sp>
    <xdr:clientData/>
  </xdr:twoCellAnchor>
  <xdr:twoCellAnchor>
    <xdr:from>
      <xdr:col>0</xdr:col>
      <xdr:colOff>134983</xdr:colOff>
      <xdr:row>9</xdr:row>
      <xdr:rowOff>108914</xdr:rowOff>
    </xdr:from>
    <xdr:to>
      <xdr:col>4</xdr:col>
      <xdr:colOff>113211</xdr:colOff>
      <xdr:row>22</xdr:row>
      <xdr:rowOff>171306</xdr:rowOff>
    </xdr:to>
    <mc:AlternateContent xmlns:mc="http://schemas.openxmlformats.org/markup-compatibility/2006" xmlns:a14="http://schemas.microsoft.com/office/drawing/2010/main">
      <mc:Choice Requires="a14">
        <xdr:graphicFrame macro="">
          <xdr:nvGraphicFramePr>
            <xdr:cNvPr id="15" name="Date of Hire(Year)">
              <a:extLst>
                <a:ext uri="{FF2B5EF4-FFF2-40B4-BE49-F238E27FC236}">
                  <a16:creationId xmlns:a16="http://schemas.microsoft.com/office/drawing/2014/main" id="{2ABF7465-080D-4341-BF88-BC3ACF2E887B}"/>
                </a:ext>
              </a:extLst>
            </xdr:cNvPr>
            <xdr:cNvGraphicFramePr/>
          </xdr:nvGraphicFramePr>
          <xdr:xfrm>
            <a:off x="0" y="0"/>
            <a:ext cx="0" cy="0"/>
          </xdr:xfrm>
          <a:graphic>
            <a:graphicData uri="http://schemas.microsoft.com/office/drawing/2010/slicer">
              <sle:slicer xmlns:sle="http://schemas.microsoft.com/office/drawing/2010/slicer" name="Date of Hire(Year)"/>
            </a:graphicData>
          </a:graphic>
        </xdr:graphicFrame>
      </mc:Choice>
      <mc:Fallback xmlns="">
        <xdr:sp macro="" textlink="">
          <xdr:nvSpPr>
            <xdr:cNvPr id="0" name=""/>
            <xdr:cNvSpPr>
              <a:spLocks noTextEdit="1"/>
            </xdr:cNvSpPr>
          </xdr:nvSpPr>
          <xdr:spPr>
            <a:xfrm>
              <a:off x="134983" y="1774428"/>
              <a:ext cx="2416628" cy="246813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245248</xdr:colOff>
      <xdr:row>7</xdr:row>
      <xdr:rowOff>72243</xdr:rowOff>
    </xdr:from>
    <xdr:to>
      <xdr:col>3</xdr:col>
      <xdr:colOff>569926</xdr:colOff>
      <xdr:row>8</xdr:row>
      <xdr:rowOff>118589</xdr:rowOff>
    </xdr:to>
    <xdr:sp macro="" textlink="">
      <xdr:nvSpPr>
        <xdr:cNvPr id="17" name="TextBox 16">
          <a:extLst>
            <a:ext uri="{FF2B5EF4-FFF2-40B4-BE49-F238E27FC236}">
              <a16:creationId xmlns:a16="http://schemas.microsoft.com/office/drawing/2014/main" id="{E269100D-ADA6-4B68-9595-F804AA151087}"/>
            </a:ext>
          </a:extLst>
        </xdr:cNvPr>
        <xdr:cNvSpPr txBox="1"/>
      </xdr:nvSpPr>
      <xdr:spPr>
        <a:xfrm>
          <a:off x="245248" y="1352403"/>
          <a:ext cx="2153478" cy="229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500" b="1">
              <a:solidFill>
                <a:schemeClr val="bg1"/>
              </a:solidFill>
              <a:latin typeface="Arial Rounded MT Bold" panose="020F0704030504030204" pitchFamily="34" charset="0"/>
            </a:rPr>
            <a:t>Filter</a:t>
          </a:r>
        </a:p>
        <a:p>
          <a:pPr algn="ctr"/>
          <a:endParaRPr lang="en-PH" sz="1500" b="1">
            <a:solidFill>
              <a:schemeClr val="bg1"/>
            </a:solidFill>
            <a:latin typeface="Arial Rounded MT Bold" panose="020F0704030504030204" pitchFamily="34" charset="0"/>
          </a:endParaRPr>
        </a:p>
      </xdr:txBody>
    </xdr:sp>
    <xdr:clientData/>
  </xdr:twoCellAnchor>
  <xdr:twoCellAnchor>
    <xdr:from>
      <xdr:col>1</xdr:col>
      <xdr:colOff>210032</xdr:colOff>
      <xdr:row>9</xdr:row>
      <xdr:rowOff>82959</xdr:rowOff>
    </xdr:from>
    <xdr:to>
      <xdr:col>2</xdr:col>
      <xdr:colOff>569261</xdr:colOff>
      <xdr:row>10</xdr:row>
      <xdr:rowOff>162801</xdr:rowOff>
    </xdr:to>
    <xdr:sp macro="" textlink="">
      <xdr:nvSpPr>
        <xdr:cNvPr id="18" name="TextBox 17">
          <a:extLst>
            <a:ext uri="{FF2B5EF4-FFF2-40B4-BE49-F238E27FC236}">
              <a16:creationId xmlns:a16="http://schemas.microsoft.com/office/drawing/2014/main" id="{76D85AAF-3D72-40F0-85D5-EC1599D26E73}"/>
            </a:ext>
          </a:extLst>
        </xdr:cNvPr>
        <xdr:cNvSpPr txBox="1"/>
      </xdr:nvSpPr>
      <xdr:spPr>
        <a:xfrm>
          <a:off x="819632" y="1728879"/>
          <a:ext cx="968829" cy="262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500" b="1">
              <a:solidFill>
                <a:schemeClr val="bg1"/>
              </a:solidFill>
              <a:latin typeface="Arial Rounded MT Bold" panose="020F0704030504030204" pitchFamily="34" charset="0"/>
            </a:rPr>
            <a:t>Year</a:t>
          </a:r>
        </a:p>
      </xdr:txBody>
    </xdr:sp>
    <xdr:clientData/>
  </xdr:twoCellAnchor>
  <xdr:twoCellAnchor>
    <xdr:from>
      <xdr:col>1</xdr:col>
      <xdr:colOff>23052</xdr:colOff>
      <xdr:row>23</xdr:row>
      <xdr:rowOff>50405</xdr:rowOff>
    </xdr:from>
    <xdr:to>
      <xdr:col>3</xdr:col>
      <xdr:colOff>186340</xdr:colOff>
      <xdr:row>24</xdr:row>
      <xdr:rowOff>141004</xdr:rowOff>
    </xdr:to>
    <xdr:sp macro="" textlink="">
      <xdr:nvSpPr>
        <xdr:cNvPr id="19" name="TextBox 18">
          <a:extLst>
            <a:ext uri="{FF2B5EF4-FFF2-40B4-BE49-F238E27FC236}">
              <a16:creationId xmlns:a16="http://schemas.microsoft.com/office/drawing/2014/main" id="{1CFA5F96-4D65-477C-92EB-662E4A9178E6}"/>
            </a:ext>
          </a:extLst>
        </xdr:cNvPr>
        <xdr:cNvSpPr txBox="1"/>
      </xdr:nvSpPr>
      <xdr:spPr>
        <a:xfrm>
          <a:off x="632652" y="4256645"/>
          <a:ext cx="1382488" cy="2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500" b="1">
              <a:solidFill>
                <a:schemeClr val="bg1"/>
              </a:solidFill>
              <a:latin typeface="Arial Rounded MT Bold" panose="020F0704030504030204" pitchFamily="34" charset="0"/>
            </a:rPr>
            <a:t>Department</a:t>
          </a:r>
        </a:p>
      </xdr:txBody>
    </xdr:sp>
    <xdr:clientData/>
  </xdr:twoCellAnchor>
  <xdr:twoCellAnchor>
    <xdr:from>
      <xdr:col>0</xdr:col>
      <xdr:colOff>143632</xdr:colOff>
      <xdr:row>0</xdr:row>
      <xdr:rowOff>149168</xdr:rowOff>
    </xdr:from>
    <xdr:to>
      <xdr:col>4</xdr:col>
      <xdr:colOff>179294</xdr:colOff>
      <xdr:row>4</xdr:row>
      <xdr:rowOff>174657</xdr:rowOff>
    </xdr:to>
    <xdr:sp macro="" textlink="">
      <xdr:nvSpPr>
        <xdr:cNvPr id="24" name="TextBox 23">
          <a:extLst>
            <a:ext uri="{FF2B5EF4-FFF2-40B4-BE49-F238E27FC236}">
              <a16:creationId xmlns:a16="http://schemas.microsoft.com/office/drawing/2014/main" id="{0C5E39C2-BFDC-44BF-9C4A-94359F3DA940}"/>
            </a:ext>
          </a:extLst>
        </xdr:cNvPr>
        <xdr:cNvSpPr txBox="1"/>
      </xdr:nvSpPr>
      <xdr:spPr>
        <a:xfrm>
          <a:off x="143632" y="149168"/>
          <a:ext cx="2474062" cy="742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000" b="1">
              <a:solidFill>
                <a:schemeClr val="bg1"/>
              </a:solidFill>
              <a:latin typeface="Bahnschrift" panose="020B0502040204020203" pitchFamily="34" charset="0"/>
            </a:rPr>
            <a:t>HR ANALYTICS</a:t>
          </a:r>
        </a:p>
      </xdr:txBody>
    </xdr:sp>
    <xdr:clientData/>
  </xdr:twoCellAnchor>
  <xdr:twoCellAnchor>
    <xdr:from>
      <xdr:col>0</xdr:col>
      <xdr:colOff>125506</xdr:colOff>
      <xdr:row>2</xdr:row>
      <xdr:rowOff>126638</xdr:rowOff>
    </xdr:from>
    <xdr:to>
      <xdr:col>4</xdr:col>
      <xdr:colOff>161168</xdr:colOff>
      <xdr:row>6</xdr:row>
      <xdr:rowOff>152126</xdr:rowOff>
    </xdr:to>
    <xdr:sp macro="" textlink="">
      <xdr:nvSpPr>
        <xdr:cNvPr id="25" name="TextBox 24">
          <a:extLst>
            <a:ext uri="{FF2B5EF4-FFF2-40B4-BE49-F238E27FC236}">
              <a16:creationId xmlns:a16="http://schemas.microsoft.com/office/drawing/2014/main" id="{7F8B7B35-A4A3-4321-9F1A-50114B26059B}"/>
            </a:ext>
          </a:extLst>
        </xdr:cNvPr>
        <xdr:cNvSpPr txBox="1"/>
      </xdr:nvSpPr>
      <xdr:spPr>
        <a:xfrm>
          <a:off x="125506" y="485226"/>
          <a:ext cx="2474062" cy="742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000" b="1">
              <a:solidFill>
                <a:schemeClr val="bg1"/>
              </a:solidFill>
              <a:latin typeface="Bahnschrift" panose="020B0502040204020203" pitchFamily="34" charset="0"/>
            </a:rPr>
            <a:t>DASHBOARD</a:t>
          </a:r>
        </a:p>
      </xdr:txBody>
    </xdr:sp>
    <xdr:clientData/>
  </xdr:twoCellAnchor>
  <xdr:twoCellAnchor>
    <xdr:from>
      <xdr:col>4</xdr:col>
      <xdr:colOff>287767</xdr:colOff>
      <xdr:row>0</xdr:row>
      <xdr:rowOff>152249</xdr:rowOff>
    </xdr:from>
    <xdr:to>
      <xdr:col>8</xdr:col>
      <xdr:colOff>9367</xdr:colOff>
      <xdr:row>6</xdr:row>
      <xdr:rowOff>126469</xdr:rowOff>
    </xdr:to>
    <xdr:sp macro="" textlink="">
      <xdr:nvSpPr>
        <xdr:cNvPr id="49" name="Rectangle: Rounded Corners 48">
          <a:extLst>
            <a:ext uri="{FF2B5EF4-FFF2-40B4-BE49-F238E27FC236}">
              <a16:creationId xmlns:a16="http://schemas.microsoft.com/office/drawing/2014/main" id="{EEB94A80-4200-2458-1D30-4B48635072B1}"/>
            </a:ext>
          </a:extLst>
        </xdr:cNvPr>
        <xdr:cNvSpPr/>
      </xdr:nvSpPr>
      <xdr:spPr>
        <a:xfrm>
          <a:off x="2726167" y="152249"/>
          <a:ext cx="2160000" cy="1049985"/>
        </a:xfrm>
        <a:prstGeom prst="roundRect">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a:solidFill>
              <a:schemeClr val="bg1"/>
            </a:solidFill>
          </a:endParaRPr>
        </a:p>
      </xdr:txBody>
    </xdr:sp>
    <xdr:clientData/>
  </xdr:twoCellAnchor>
  <xdr:twoCellAnchor>
    <xdr:from>
      <xdr:col>4</xdr:col>
      <xdr:colOff>287767</xdr:colOff>
      <xdr:row>1</xdr:row>
      <xdr:rowOff>17345</xdr:rowOff>
    </xdr:from>
    <xdr:to>
      <xdr:col>8</xdr:col>
      <xdr:colOff>9861</xdr:colOff>
      <xdr:row>2</xdr:row>
      <xdr:rowOff>70006</xdr:rowOff>
    </xdr:to>
    <xdr:sp macro="" textlink="">
      <xdr:nvSpPr>
        <xdr:cNvPr id="60" name="TextBox 59">
          <a:extLst>
            <a:ext uri="{FF2B5EF4-FFF2-40B4-BE49-F238E27FC236}">
              <a16:creationId xmlns:a16="http://schemas.microsoft.com/office/drawing/2014/main" id="{D4684FF7-BE70-4631-A678-A570C5C48451}"/>
            </a:ext>
          </a:extLst>
        </xdr:cNvPr>
        <xdr:cNvSpPr txBox="1"/>
      </xdr:nvSpPr>
      <xdr:spPr>
        <a:xfrm>
          <a:off x="2726167" y="196639"/>
          <a:ext cx="2160494" cy="231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Arial Rounded MT Bold" panose="020F0704030504030204" pitchFamily="34" charset="0"/>
            </a:rPr>
            <a:t>Employee</a:t>
          </a:r>
          <a:r>
            <a:rPr lang="en-PH" sz="1200" b="1" baseline="0">
              <a:solidFill>
                <a:schemeClr val="bg1"/>
              </a:solidFill>
              <a:latin typeface="Arial Rounded MT Bold" panose="020F0704030504030204" pitchFamily="34" charset="0"/>
            </a:rPr>
            <a:t> Count</a:t>
          </a:r>
          <a:endParaRPr lang="en-PH" sz="1200" b="1">
            <a:solidFill>
              <a:schemeClr val="bg1"/>
            </a:solidFill>
            <a:latin typeface="Arial Rounded MT Bold" panose="020F0704030504030204" pitchFamily="34" charset="0"/>
          </a:endParaRPr>
        </a:p>
      </xdr:txBody>
    </xdr:sp>
    <xdr:clientData/>
  </xdr:twoCellAnchor>
  <xdr:twoCellAnchor>
    <xdr:from>
      <xdr:col>5</xdr:col>
      <xdr:colOff>406842</xdr:colOff>
      <xdr:row>2</xdr:row>
      <xdr:rowOff>132156</xdr:rowOff>
    </xdr:from>
    <xdr:to>
      <xdr:col>7</xdr:col>
      <xdr:colOff>368105</xdr:colOff>
      <xdr:row>5</xdr:row>
      <xdr:rowOff>100269</xdr:rowOff>
    </xdr:to>
    <xdr:sp macro="" textlink="Analysis!$C$10">
      <xdr:nvSpPr>
        <xdr:cNvPr id="67" name="TextBox 66">
          <a:extLst>
            <a:ext uri="{FF2B5EF4-FFF2-40B4-BE49-F238E27FC236}">
              <a16:creationId xmlns:a16="http://schemas.microsoft.com/office/drawing/2014/main" id="{B7F0106D-ECDC-A648-270A-3FD8E1EF7D13}"/>
            </a:ext>
          </a:extLst>
        </xdr:cNvPr>
        <xdr:cNvSpPr txBox="1"/>
      </xdr:nvSpPr>
      <xdr:spPr>
        <a:xfrm>
          <a:off x="3454842" y="490744"/>
          <a:ext cx="1180463" cy="50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0A49DD-70FD-4391-B85B-C080AA2D57C4}" type="TxLink">
            <a:rPr lang="en-US" sz="3000" b="0" i="0" u="none" strike="noStrike">
              <a:solidFill>
                <a:schemeClr val="bg1"/>
              </a:solidFill>
              <a:latin typeface="Arial Rounded MT Bold" panose="020F0704030504030204" pitchFamily="34" charset="0"/>
              <a:ea typeface="Calibri"/>
              <a:cs typeface="Calibri"/>
            </a:rPr>
            <a:pPr algn="ctr"/>
            <a:t>311</a:t>
          </a:fld>
          <a:endParaRPr lang="en-US" sz="3000" b="1">
            <a:solidFill>
              <a:schemeClr val="bg1"/>
            </a:solidFill>
            <a:latin typeface="Arial Rounded MT Bold" panose="020F0704030504030204" pitchFamily="34" charset="0"/>
          </a:endParaRPr>
        </a:p>
      </xdr:txBody>
    </xdr:sp>
    <xdr:clientData/>
  </xdr:twoCellAnchor>
  <xdr:twoCellAnchor>
    <xdr:from>
      <xdr:col>5</xdr:col>
      <xdr:colOff>13064</xdr:colOff>
      <xdr:row>2</xdr:row>
      <xdr:rowOff>120132</xdr:rowOff>
    </xdr:from>
    <xdr:to>
      <xdr:col>5</xdr:col>
      <xdr:colOff>553064</xdr:colOff>
      <xdr:row>5</xdr:row>
      <xdr:rowOff>105096</xdr:rowOff>
    </xdr:to>
    <xdr:pic>
      <xdr:nvPicPr>
        <xdr:cNvPr id="28" name="Picture 27">
          <a:extLst>
            <a:ext uri="{FF2B5EF4-FFF2-40B4-BE49-F238E27FC236}">
              <a16:creationId xmlns:a16="http://schemas.microsoft.com/office/drawing/2014/main" id="{A57BC73F-4076-F426-5E81-97805114216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061064" y="478720"/>
          <a:ext cx="540000" cy="522847"/>
        </a:xfrm>
        <a:prstGeom prst="rect">
          <a:avLst/>
        </a:prstGeom>
      </xdr:spPr>
    </xdr:pic>
    <xdr:clientData/>
  </xdr:twoCellAnchor>
  <xdr:twoCellAnchor>
    <xdr:from>
      <xdr:col>8</xdr:col>
      <xdr:colOff>402772</xdr:colOff>
      <xdr:row>2</xdr:row>
      <xdr:rowOff>141451</xdr:rowOff>
    </xdr:from>
    <xdr:to>
      <xdr:col>9</xdr:col>
      <xdr:colOff>333172</xdr:colOff>
      <xdr:row>5</xdr:row>
      <xdr:rowOff>126399</xdr:rowOff>
    </xdr:to>
    <xdr:pic>
      <xdr:nvPicPr>
        <xdr:cNvPr id="30" name="Picture 29">
          <a:extLst>
            <a:ext uri="{FF2B5EF4-FFF2-40B4-BE49-F238E27FC236}">
              <a16:creationId xmlns:a16="http://schemas.microsoft.com/office/drawing/2014/main" id="{493450DF-D692-B9C4-9836-843F50D4B9B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279572" y="507211"/>
          <a:ext cx="540000" cy="533588"/>
        </a:xfrm>
        <a:prstGeom prst="rect">
          <a:avLst/>
        </a:prstGeom>
      </xdr:spPr>
    </xdr:pic>
    <xdr:clientData/>
  </xdr:twoCellAnchor>
  <xdr:twoCellAnchor>
    <xdr:from>
      <xdr:col>12</xdr:col>
      <xdr:colOff>304798</xdr:colOff>
      <xdr:row>2</xdr:row>
      <xdr:rowOff>119937</xdr:rowOff>
    </xdr:from>
    <xdr:to>
      <xdr:col>13</xdr:col>
      <xdr:colOff>235198</xdr:colOff>
      <xdr:row>5</xdr:row>
      <xdr:rowOff>115468</xdr:rowOff>
    </xdr:to>
    <xdr:pic>
      <xdr:nvPicPr>
        <xdr:cNvPr id="32" name="Picture 31">
          <a:extLst>
            <a:ext uri="{FF2B5EF4-FFF2-40B4-BE49-F238E27FC236}">
              <a16:creationId xmlns:a16="http://schemas.microsoft.com/office/drawing/2014/main" id="{149AB59A-F36F-AFA3-6366-F3DBCB59D46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619998" y="485697"/>
          <a:ext cx="540000" cy="544171"/>
        </a:xfrm>
        <a:prstGeom prst="rect">
          <a:avLst/>
        </a:prstGeom>
      </xdr:spPr>
    </xdr:pic>
    <xdr:clientData/>
  </xdr:twoCellAnchor>
  <xdr:twoCellAnchor>
    <xdr:from>
      <xdr:col>16</xdr:col>
      <xdr:colOff>119746</xdr:colOff>
      <xdr:row>2</xdr:row>
      <xdr:rowOff>119938</xdr:rowOff>
    </xdr:from>
    <xdr:to>
      <xdr:col>17</xdr:col>
      <xdr:colOff>138572</xdr:colOff>
      <xdr:row>5</xdr:row>
      <xdr:rowOff>104886</xdr:rowOff>
    </xdr:to>
    <xdr:pic>
      <xdr:nvPicPr>
        <xdr:cNvPr id="37" name="Picture 36">
          <a:extLst>
            <a:ext uri="{FF2B5EF4-FFF2-40B4-BE49-F238E27FC236}">
              <a16:creationId xmlns:a16="http://schemas.microsoft.com/office/drawing/2014/main" id="{CFE549CD-991B-A493-57ED-BA34C35DFDD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3346" y="485698"/>
          <a:ext cx="628426" cy="533588"/>
        </a:xfrm>
        <a:prstGeom prst="rect">
          <a:avLst/>
        </a:prstGeom>
      </xdr:spPr>
    </xdr:pic>
    <xdr:clientData/>
  </xdr:twoCellAnchor>
  <xdr:twoCellAnchor>
    <xdr:from>
      <xdr:col>8</xdr:col>
      <xdr:colOff>217714</xdr:colOff>
      <xdr:row>7</xdr:row>
      <xdr:rowOff>98322</xdr:rowOff>
    </xdr:from>
    <xdr:to>
      <xdr:col>17</xdr:col>
      <xdr:colOff>544285</xdr:colOff>
      <xdr:row>9</xdr:row>
      <xdr:rowOff>87524</xdr:rowOff>
    </xdr:to>
    <xdr:sp macro="" textlink="">
      <xdr:nvSpPr>
        <xdr:cNvPr id="9" name="TextBox 8">
          <a:extLst>
            <a:ext uri="{FF2B5EF4-FFF2-40B4-BE49-F238E27FC236}">
              <a16:creationId xmlns:a16="http://schemas.microsoft.com/office/drawing/2014/main" id="{14F3CC1E-B4B6-4FAE-BD0C-CA42C37F68D6}"/>
            </a:ext>
          </a:extLst>
        </xdr:cNvPr>
        <xdr:cNvSpPr txBox="1"/>
      </xdr:nvSpPr>
      <xdr:spPr>
        <a:xfrm>
          <a:off x="5094514" y="1378482"/>
          <a:ext cx="5812971" cy="354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400" b="1">
              <a:solidFill>
                <a:schemeClr val="bg1"/>
              </a:solidFill>
              <a:latin typeface="Arial Rounded MT Bold" panose="020F0704030504030204" pitchFamily="34" charset="0"/>
            </a:rPr>
            <a:t>Hiring</a:t>
          </a:r>
          <a:r>
            <a:rPr lang="en-PH" sz="1400" b="1" baseline="0">
              <a:solidFill>
                <a:schemeClr val="bg1"/>
              </a:solidFill>
              <a:latin typeface="Arial Rounded MT Bold" panose="020F0704030504030204" pitchFamily="34" charset="0"/>
            </a:rPr>
            <a:t> Trend</a:t>
          </a:r>
          <a:endParaRPr lang="en-PH" sz="1400" b="1">
            <a:solidFill>
              <a:schemeClr val="bg1"/>
            </a:solidFill>
            <a:latin typeface="Arial Rounded MT Bold" panose="020F0704030504030204" pitchFamily="34" charset="0"/>
          </a:endParaRPr>
        </a:p>
      </xdr:txBody>
    </xdr:sp>
    <xdr:clientData/>
  </xdr:twoCellAnchor>
  <xdr:twoCellAnchor>
    <xdr:from>
      <xdr:col>9</xdr:col>
      <xdr:colOff>435429</xdr:colOff>
      <xdr:row>22</xdr:row>
      <xdr:rowOff>173313</xdr:rowOff>
    </xdr:from>
    <xdr:to>
      <xdr:col>16</xdr:col>
      <xdr:colOff>130630</xdr:colOff>
      <xdr:row>24</xdr:row>
      <xdr:rowOff>162515</xdr:rowOff>
    </xdr:to>
    <xdr:sp macro="" textlink="">
      <xdr:nvSpPr>
        <xdr:cNvPr id="12" name="TextBox 11">
          <a:extLst>
            <a:ext uri="{FF2B5EF4-FFF2-40B4-BE49-F238E27FC236}">
              <a16:creationId xmlns:a16="http://schemas.microsoft.com/office/drawing/2014/main" id="{9415C848-AA13-44C2-8C5C-CF89AEB7F02F}"/>
            </a:ext>
          </a:extLst>
        </xdr:cNvPr>
        <xdr:cNvSpPr txBox="1"/>
      </xdr:nvSpPr>
      <xdr:spPr>
        <a:xfrm>
          <a:off x="5921829" y="4196673"/>
          <a:ext cx="3962401" cy="354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400" b="1">
              <a:solidFill>
                <a:schemeClr val="bg1"/>
              </a:solidFill>
              <a:latin typeface="Arial Rounded MT Bold" panose="020F0704030504030204" pitchFamily="34" charset="0"/>
            </a:rPr>
            <a:t>Position Manpower</a:t>
          </a:r>
        </a:p>
      </xdr:txBody>
    </xdr:sp>
    <xdr:clientData/>
  </xdr:twoCellAnchor>
  <xdr:twoCellAnchor>
    <xdr:from>
      <xdr:col>18</xdr:col>
      <xdr:colOff>217715</xdr:colOff>
      <xdr:row>22</xdr:row>
      <xdr:rowOff>119529</xdr:rowOff>
    </xdr:from>
    <xdr:to>
      <xdr:col>23</xdr:col>
      <xdr:colOff>76201</xdr:colOff>
      <xdr:row>24</xdr:row>
      <xdr:rowOff>108731</xdr:rowOff>
    </xdr:to>
    <xdr:sp macro="" textlink="">
      <xdr:nvSpPr>
        <xdr:cNvPr id="13" name="TextBox 12">
          <a:extLst>
            <a:ext uri="{FF2B5EF4-FFF2-40B4-BE49-F238E27FC236}">
              <a16:creationId xmlns:a16="http://schemas.microsoft.com/office/drawing/2014/main" id="{18FCFF43-AEEE-4C8C-8F23-DECBBC7DDCCF}"/>
            </a:ext>
          </a:extLst>
        </xdr:cNvPr>
        <xdr:cNvSpPr txBox="1"/>
      </xdr:nvSpPr>
      <xdr:spPr>
        <a:xfrm>
          <a:off x="11190515" y="4142889"/>
          <a:ext cx="2906486" cy="354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400" b="1">
              <a:solidFill>
                <a:schemeClr val="bg1"/>
              </a:solidFill>
              <a:latin typeface="Arial Rounded MT Bold" panose="020F0704030504030204" pitchFamily="34" charset="0"/>
            </a:rPr>
            <a:t>Age Demographics</a:t>
          </a:r>
        </a:p>
      </xdr:txBody>
    </xdr:sp>
    <xdr:clientData/>
  </xdr:twoCellAnchor>
  <xdr:twoCellAnchor>
    <xdr:from>
      <xdr:col>18</xdr:col>
      <xdr:colOff>108857</xdr:colOff>
      <xdr:row>7</xdr:row>
      <xdr:rowOff>119834</xdr:rowOff>
    </xdr:from>
    <xdr:to>
      <xdr:col>22</xdr:col>
      <xdr:colOff>576943</xdr:colOff>
      <xdr:row>9</xdr:row>
      <xdr:rowOff>109036</xdr:rowOff>
    </xdr:to>
    <xdr:sp macro="" textlink="">
      <xdr:nvSpPr>
        <xdr:cNvPr id="14" name="TextBox 13">
          <a:extLst>
            <a:ext uri="{FF2B5EF4-FFF2-40B4-BE49-F238E27FC236}">
              <a16:creationId xmlns:a16="http://schemas.microsoft.com/office/drawing/2014/main" id="{78BD9F4F-211D-43E9-9C6A-8216D69FAC56}"/>
            </a:ext>
          </a:extLst>
        </xdr:cNvPr>
        <xdr:cNvSpPr txBox="1"/>
      </xdr:nvSpPr>
      <xdr:spPr>
        <a:xfrm>
          <a:off x="11081657" y="1399994"/>
          <a:ext cx="2906486" cy="354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400" b="1">
              <a:solidFill>
                <a:schemeClr val="bg1"/>
              </a:solidFill>
              <a:latin typeface="Arial Rounded MT Bold" panose="020F0704030504030204" pitchFamily="34" charset="0"/>
            </a:rPr>
            <a:t>Recruitement</a:t>
          </a:r>
          <a:r>
            <a:rPr lang="en-PH" sz="1400" b="1" baseline="0">
              <a:solidFill>
                <a:schemeClr val="bg1"/>
              </a:solidFill>
              <a:latin typeface="Arial Rounded MT Bold" panose="020F0704030504030204" pitchFamily="34" charset="0"/>
            </a:rPr>
            <a:t> Source</a:t>
          </a:r>
          <a:endParaRPr lang="en-PH" sz="1400" b="1">
            <a:solidFill>
              <a:schemeClr val="bg1"/>
            </a:solidFill>
            <a:latin typeface="Arial Rounded MT Bold" panose="020F0704030504030204" pitchFamily="34" charset="0"/>
          </a:endParaRPr>
        </a:p>
      </xdr:txBody>
    </xdr:sp>
    <xdr:clientData/>
  </xdr:twoCellAnchor>
  <xdr:twoCellAnchor>
    <xdr:from>
      <xdr:col>4</xdr:col>
      <xdr:colOff>285974</xdr:colOff>
      <xdr:row>22</xdr:row>
      <xdr:rowOff>162980</xdr:rowOff>
    </xdr:from>
    <xdr:to>
      <xdr:col>9</xdr:col>
      <xdr:colOff>260874</xdr:colOff>
      <xdr:row>37</xdr:row>
      <xdr:rowOff>38440</xdr:rowOff>
    </xdr:to>
    <xdr:sp macro="" textlink="">
      <xdr:nvSpPr>
        <xdr:cNvPr id="93" name="Rectangle: Rounded Corners 92">
          <a:extLst>
            <a:ext uri="{FF2B5EF4-FFF2-40B4-BE49-F238E27FC236}">
              <a16:creationId xmlns:a16="http://schemas.microsoft.com/office/drawing/2014/main" id="{B04FF7AE-376D-4482-A3F2-7874FD8F43B1}"/>
            </a:ext>
          </a:extLst>
        </xdr:cNvPr>
        <xdr:cNvSpPr/>
      </xdr:nvSpPr>
      <xdr:spPr>
        <a:xfrm>
          <a:off x="2724374" y="4107451"/>
          <a:ext cx="3022900" cy="2564871"/>
        </a:xfrm>
        <a:prstGeom prst="roundRect">
          <a:avLst>
            <a:gd name="adj" fmla="val 11698"/>
          </a:avLst>
        </a:prstGeom>
        <a:solidFill>
          <a:srgbClr val="171D31"/>
        </a:solidFill>
        <a:ln w="19050">
          <a:noFill/>
        </a:ln>
        <a:effectLst>
          <a:outerShdw blurRad="50800" dist="38100" dir="5400000" algn="t" rotWithShape="0">
            <a:schemeClr val="bg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clientData/>
  </xdr:twoCellAnchor>
  <xdr:twoCellAnchor>
    <xdr:from>
      <xdr:col>2</xdr:col>
      <xdr:colOff>260870</xdr:colOff>
      <xdr:row>24</xdr:row>
      <xdr:rowOff>137394</xdr:rowOff>
    </xdr:from>
    <xdr:to>
      <xdr:col>11</xdr:col>
      <xdr:colOff>251907</xdr:colOff>
      <xdr:row>38</xdr:row>
      <xdr:rowOff>0</xdr:rowOff>
    </xdr:to>
    <xdr:graphicFrame macro="">
      <xdr:nvGraphicFramePr>
        <xdr:cNvPr id="10" name="Chart 9">
          <a:extLst>
            <a:ext uri="{FF2B5EF4-FFF2-40B4-BE49-F238E27FC236}">
              <a16:creationId xmlns:a16="http://schemas.microsoft.com/office/drawing/2014/main" id="{EDF430D4-2243-4ECA-A255-3A18D0F3B1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350521</xdr:colOff>
      <xdr:row>23</xdr:row>
      <xdr:rowOff>13187</xdr:rowOff>
    </xdr:from>
    <xdr:to>
      <xdr:col>9</xdr:col>
      <xdr:colOff>209007</xdr:colOff>
      <xdr:row>25</xdr:row>
      <xdr:rowOff>5120</xdr:rowOff>
    </xdr:to>
    <xdr:sp macro="" textlink="">
      <xdr:nvSpPr>
        <xdr:cNvPr id="7" name="TextBox 6">
          <a:extLst>
            <a:ext uri="{FF2B5EF4-FFF2-40B4-BE49-F238E27FC236}">
              <a16:creationId xmlns:a16="http://schemas.microsoft.com/office/drawing/2014/main" id="{B46A1489-98AE-47D0-A839-56F1A7E7108F}"/>
            </a:ext>
          </a:extLst>
        </xdr:cNvPr>
        <xdr:cNvSpPr txBox="1"/>
      </xdr:nvSpPr>
      <xdr:spPr>
        <a:xfrm>
          <a:off x="2788921" y="4136952"/>
          <a:ext cx="2906486" cy="350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400" b="1">
              <a:solidFill>
                <a:schemeClr val="bg1"/>
              </a:solidFill>
              <a:latin typeface="Arial Rounded MT Bold" panose="020F0704030504030204" pitchFamily="34" charset="0"/>
            </a:rPr>
            <a:t>Employemnt Satisfaction</a:t>
          </a:r>
        </a:p>
      </xdr:txBody>
    </xdr:sp>
    <xdr:clientData/>
  </xdr:twoCellAnchor>
  <xdr:twoCellAnchor>
    <xdr:from>
      <xdr:col>4</xdr:col>
      <xdr:colOff>361407</xdr:colOff>
      <xdr:row>32</xdr:row>
      <xdr:rowOff>175657</xdr:rowOff>
    </xdr:from>
    <xdr:to>
      <xdr:col>9</xdr:col>
      <xdr:colOff>219893</xdr:colOff>
      <xdr:row>34</xdr:row>
      <xdr:rowOff>165452</xdr:rowOff>
    </xdr:to>
    <xdr:sp macro="" textlink="">
      <xdr:nvSpPr>
        <xdr:cNvPr id="20" name="TextBox 19">
          <a:extLst>
            <a:ext uri="{FF2B5EF4-FFF2-40B4-BE49-F238E27FC236}">
              <a16:creationId xmlns:a16="http://schemas.microsoft.com/office/drawing/2014/main" id="{769F7B2E-2319-4CF2-8B70-449D11A2206D}"/>
            </a:ext>
          </a:extLst>
        </xdr:cNvPr>
        <xdr:cNvSpPr txBox="1"/>
      </xdr:nvSpPr>
      <xdr:spPr>
        <a:xfrm>
          <a:off x="2799807" y="5913069"/>
          <a:ext cx="2906486" cy="34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500" b="1">
              <a:solidFill>
                <a:srgbClr val="05F2DB"/>
              </a:solidFill>
              <a:latin typeface="+mj-lt"/>
            </a:rPr>
            <a:t>OUT OF </a:t>
          </a:r>
          <a:r>
            <a:rPr lang="en-PH" sz="2000" b="1">
              <a:solidFill>
                <a:srgbClr val="05F2DB"/>
              </a:solidFill>
              <a:latin typeface="Arial Rounded MT Bold" panose="020F0704030504030204" pitchFamily="34" charset="0"/>
            </a:rPr>
            <a:t>5</a:t>
          </a:r>
          <a:r>
            <a:rPr lang="en-PH" sz="1500" b="1">
              <a:solidFill>
                <a:srgbClr val="05F2DB"/>
              </a:solidFill>
              <a:latin typeface="Arial Rounded MT Bold" panose="020F0704030504030204" pitchFamily="34" charset="0"/>
            </a:rPr>
            <a:t> </a:t>
          </a:r>
          <a:r>
            <a:rPr lang="en-PH" sz="1500" b="0">
              <a:solidFill>
                <a:schemeClr val="bg1"/>
              </a:solidFill>
              <a:latin typeface="+mn-lt"/>
            </a:rPr>
            <a:t>Engagement Rating</a:t>
          </a:r>
        </a:p>
      </xdr:txBody>
    </xdr:sp>
    <xdr:clientData/>
  </xdr:twoCellAnchor>
  <xdr:twoCellAnchor>
    <xdr:from>
      <xdr:col>5</xdr:col>
      <xdr:colOff>97972</xdr:colOff>
      <xdr:row>30</xdr:row>
      <xdr:rowOff>92066</xdr:rowOff>
    </xdr:from>
    <xdr:to>
      <xdr:col>8</xdr:col>
      <xdr:colOff>429666</xdr:colOff>
      <xdr:row>33</xdr:row>
      <xdr:rowOff>60024</xdr:rowOff>
    </xdr:to>
    <xdr:sp macro="" textlink="Analysis!$AL$11">
      <xdr:nvSpPr>
        <xdr:cNvPr id="36" name="TextBox 35">
          <a:extLst>
            <a:ext uri="{FF2B5EF4-FFF2-40B4-BE49-F238E27FC236}">
              <a16:creationId xmlns:a16="http://schemas.microsoft.com/office/drawing/2014/main" id="{7804DF65-074E-4AA1-851A-28D5A0CAB566}"/>
            </a:ext>
          </a:extLst>
        </xdr:cNvPr>
        <xdr:cNvSpPr txBox="1"/>
      </xdr:nvSpPr>
      <xdr:spPr>
        <a:xfrm>
          <a:off x="3145972" y="5578466"/>
          <a:ext cx="2160494" cy="516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7722EA-390B-4781-A999-B1DC69678F8C}" type="TxLink">
            <a:rPr lang="en-US" sz="2500" b="0" i="0" u="none" strike="noStrike">
              <a:solidFill>
                <a:schemeClr val="bg1"/>
              </a:solidFill>
              <a:latin typeface="Arial Rounded MT Bold" panose="020F0704030504030204" pitchFamily="34" charset="0"/>
              <a:ea typeface="Calibri"/>
              <a:cs typeface="Calibri"/>
            </a:rPr>
            <a:pPr algn="ctr"/>
            <a:t>3.89</a:t>
          </a:fld>
          <a:endParaRPr lang="en-US" sz="2500" b="1">
            <a:solidFill>
              <a:schemeClr val="bg1"/>
            </a:solidFill>
            <a:latin typeface="Arial Rounded MT Bold" panose="020F0704030504030204" pitchFamily="34" charset="0"/>
          </a:endParaRPr>
        </a:p>
      </xdr:txBody>
    </xdr:sp>
    <xdr:clientData/>
  </xdr:twoCellAnchor>
  <xdr:twoCellAnchor>
    <xdr:from>
      <xdr:col>0</xdr:col>
      <xdr:colOff>174172</xdr:colOff>
      <xdr:row>23</xdr:row>
      <xdr:rowOff>93567</xdr:rowOff>
    </xdr:from>
    <xdr:to>
      <xdr:col>4</xdr:col>
      <xdr:colOff>102455</xdr:colOff>
      <xdr:row>34</xdr:row>
      <xdr:rowOff>102202</xdr:rowOff>
    </xdr:to>
    <mc:AlternateContent xmlns:mc="http://schemas.openxmlformats.org/markup-compatibility/2006" xmlns:a14="http://schemas.microsoft.com/office/drawing/2010/main">
      <mc:Choice Requires="a14">
        <xdr:graphicFrame macro="">
          <xdr:nvGraphicFramePr>
            <xdr:cNvPr id="16" name="Department">
              <a:extLst>
                <a:ext uri="{FF2B5EF4-FFF2-40B4-BE49-F238E27FC236}">
                  <a16:creationId xmlns:a16="http://schemas.microsoft.com/office/drawing/2014/main" id="{DB6703EB-3DEB-4EBA-9FEC-B1A9536DC5C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74172" y="4349881"/>
              <a:ext cx="2366683" cy="204426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468087</xdr:colOff>
      <xdr:row>34</xdr:row>
      <xdr:rowOff>22482</xdr:rowOff>
    </xdr:from>
    <xdr:to>
      <xdr:col>2</xdr:col>
      <xdr:colOff>381001</xdr:colOff>
      <xdr:row>36</xdr:row>
      <xdr:rowOff>108493</xdr:rowOff>
    </xdr:to>
    <xdr:pic macro="[0]!Refresh">
      <xdr:nvPicPr>
        <xdr:cNvPr id="21" name="Picture 20">
          <a:extLst>
            <a:ext uri="{FF2B5EF4-FFF2-40B4-BE49-F238E27FC236}">
              <a16:creationId xmlns:a16="http://schemas.microsoft.com/office/drawing/2014/main" id="{EE2A073E-625E-5F81-B595-C28DEF35757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77687" y="6240402"/>
          <a:ext cx="522514" cy="45177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tian" refreshedDate="45391.471590393521" createdVersion="8" refreshedVersion="8" minRefreshableVersion="3" recordCount="311" xr:uid="{DFC67648-63C5-43ED-8A52-D8D5477C9579}">
  <cacheSource type="worksheet">
    <worksheetSource name="Table1"/>
  </cacheSource>
  <cacheFields count="32">
    <cacheField name="Name" numFmtId="0">
      <sharedItems/>
    </cacheField>
    <cacheField name="EmpID" numFmtId="0">
      <sharedItems containsSemiMixedTypes="0" containsString="0" containsNumber="1" containsInteger="1" minValue="10001" maxValue="10311"/>
    </cacheField>
    <cacheField name="Position ID" numFmtId="0">
      <sharedItems/>
    </cacheField>
    <cacheField name="Department ID" numFmtId="0">
      <sharedItems/>
    </cacheField>
    <cacheField name="Manger ID" numFmtId="0">
      <sharedItems containsSemiMixedTypes="0" containsString="0" containsNumber="1" containsInteger="1" minValue="10002" maxValue="10265"/>
    </cacheField>
    <cacheField name="DateofHire" numFmtId="14">
      <sharedItems containsSemiMixedTypes="0" containsNonDate="0" containsDate="1" containsString="0" minDate="2006-01-09T00:00:00" maxDate="2018-07-10T00:00:00"/>
    </cacheField>
    <cacheField name="Annual Salary (USD" numFmtId="43">
      <sharedItems containsSemiMixedTypes="0" containsString="0" containsNumber="1" containsInteger="1" minValue="45046" maxValue="250000"/>
    </cacheField>
    <cacheField name="Sex" numFmtId="0">
      <sharedItems count="2">
        <s v="Male"/>
        <s v="Female"/>
      </sharedItems>
    </cacheField>
    <cacheField name="DOB" numFmtId="14">
      <sharedItems containsSemiMixedTypes="0" containsNonDate="0" containsDate="1" containsString="0" minDate="1951-01-02T00:00:00" maxDate="1992-08-18T00:00:00"/>
    </cacheField>
    <cacheField name="MaritalDesc" numFmtId="0">
      <sharedItems/>
    </cacheField>
    <cacheField name="CitizenDesc" numFmtId="0">
      <sharedItems/>
    </cacheField>
    <cacheField name="RaceDesc" numFmtId="0">
      <sharedItems/>
    </cacheField>
    <cacheField name="State" numFmtId="0">
      <sharedItems/>
    </cacheField>
    <cacheField name="Zip" numFmtId="0">
      <sharedItems containsSemiMixedTypes="0" containsString="0" containsNumber="1" containsInteger="1" minValue="1013" maxValue="98052"/>
    </cacheField>
    <cacheField name="DateofTermination" numFmtId="0">
      <sharedItems containsNonDate="0" containsDate="1" containsString="0" containsBlank="1" minDate="2010-08-30T00:00:00" maxDate="2018-11-11T00:00:00"/>
    </cacheField>
    <cacheField name="TermReason" numFmtId="0">
      <sharedItems/>
    </cacheField>
    <cacheField name="EmploymentStatus" numFmtId="0">
      <sharedItems/>
    </cacheField>
    <cacheField name="RecruitmentSource" numFmtId="0">
      <sharedItems count="9">
        <s v="LinkedIn"/>
        <s v="Indeed"/>
        <s v="Google Search"/>
        <s v="Employee Referral"/>
        <s v="Diversity Job Fair"/>
        <s v="On-line Web application"/>
        <s v="CareerBuilder"/>
        <s v="Website"/>
        <s v="Other"/>
      </sharedItems>
    </cacheField>
    <cacheField name="PerformanceScore" numFmtId="0">
      <sharedItems/>
    </cacheField>
    <cacheField name="EngagementSurvey" numFmtId="0">
      <sharedItems containsSemiMixedTypes="0" containsString="0" containsNumber="1" minValue="1.1200000000000001" maxValue="5"/>
    </cacheField>
    <cacheField name="EmpSatisfaction" numFmtId="0">
      <sharedItems containsSemiMixedTypes="0" containsString="0" containsNumber="1" containsInteger="1" minValue="1" maxValue="5"/>
    </cacheField>
    <cacheField name="LastPerformanceReview_Date" numFmtId="14">
      <sharedItems containsSemiMixedTypes="0" containsNonDate="0" containsDate="1" containsString="0" minDate="2010-07-14T00:00:00" maxDate="2019-03-01T00:00:00"/>
    </cacheField>
    <cacheField name="Absences" numFmtId="0">
      <sharedItems containsSemiMixedTypes="0" containsString="0" containsNumber="1" containsInteger="1" minValue="1" maxValue="20"/>
    </cacheField>
    <cacheField name="Position" numFmtId="0">
      <sharedItems count="32">
        <s v="Production Technician I"/>
        <s v="Sr. DBA"/>
        <s v="Production Technician II"/>
        <s v="Software Engineer"/>
        <s v="IT Support"/>
        <s v="Data Analyst"/>
        <s v="Database Administrator"/>
        <s v="Enterprise Architect"/>
        <s v="Sr. Accountant"/>
        <s v="Production Manager"/>
        <s v="Accountant I"/>
        <s v="Area Sales Manager"/>
        <s v="Software Engineering Manager"/>
        <s v="BI Director"/>
        <s v="Director of Operations"/>
        <s v="Sr. Network Engineer"/>
        <s v="Sales Manager"/>
        <s v="BI Developer"/>
        <s v="IT Manager - Support"/>
        <s v="Network Engineer"/>
        <s v="IT Director"/>
        <s v="Director of Sales"/>
        <s v="Administrative Assistant"/>
        <s v="President &amp; CEO"/>
        <s v="Senior BI Developer"/>
        <s v="Shared Services Manager"/>
        <s v="IT Manager - Infra"/>
        <s v="Principal Data Architect"/>
        <s v="Data Architect"/>
        <s v="IT Manager - DB"/>
        <s v="Data Analyst "/>
        <s v="CIO"/>
      </sharedItems>
    </cacheField>
    <cacheField name="Department" numFmtId="0">
      <sharedItems count="7">
        <s v="Production"/>
        <s v="IT/IS"/>
        <s v="Software Engineering"/>
        <s v="Admin Offices"/>
        <s v="Sales"/>
        <s v="Executive Office"/>
        <s v="Production       " u="1"/>
      </sharedItems>
    </cacheField>
    <cacheField name="Manager" numFmtId="0">
      <sharedItems/>
    </cacheField>
    <cacheField name=" Age" numFmtId="0">
      <sharedItems containsSemiMixedTypes="0" containsString="0" containsNumber="1" containsInteger="1" minValue="31" maxValue="73"/>
    </cacheField>
    <cacheField name="Age Bracket" numFmtId="0">
      <sharedItems count="3">
        <s v="30-49"/>
        <s v="50-59"/>
        <s v="60 or more"/>
      </sharedItems>
    </cacheField>
    <cacheField name="Tenured(Yrs)" numFmtId="164">
      <sharedItems containsSemiMixedTypes="0" containsString="0" containsNumber="1" minValue="0" maxValue="18.25"/>
    </cacheField>
    <cacheField name="EmployeeSatisfaction" numFmtId="0">
      <sharedItems/>
    </cacheField>
    <cacheField name="Date of Hire(Year)" numFmtId="0">
      <sharedItems containsSemiMixedTypes="0" containsString="0" containsNumber="1" containsInteger="1" minValue="2006" maxValue="2018" count="13">
        <n v="2011"/>
        <n v="2015"/>
        <n v="2008"/>
        <n v="2012"/>
        <n v="2014"/>
        <n v="2013"/>
        <n v="2009"/>
        <n v="2016"/>
        <n v="2010"/>
        <n v="2018"/>
        <n v="2017"/>
        <n v="2007"/>
        <n v="2006"/>
      </sharedItems>
    </cacheField>
    <cacheField name="EmploymentStatus2" numFmtId="0">
      <sharedItems count="2">
        <s v="Active"/>
        <s v="Inactive"/>
      </sharedItems>
    </cacheField>
  </cacheFields>
  <extLst>
    <ext xmlns:x14="http://schemas.microsoft.com/office/spreadsheetml/2009/9/main" uri="{725AE2AE-9491-48be-B2B4-4EB974FC3084}">
      <x14:pivotCacheDefinition pivotCacheId="4127968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Xadinolfi, Wilson  K"/>
    <n v="10026"/>
    <s v="P023"/>
    <s v="D004"/>
    <n v="10026"/>
    <d v="2011-07-05T00:00:00"/>
    <n v="62506"/>
    <x v="0"/>
    <d v="1983-07-10T00:00:00"/>
    <s v="Single"/>
    <s v="US Citizen"/>
    <s v="White"/>
    <s v="MA"/>
    <n v="1960"/>
    <m/>
    <s v="N/A-Stillemployed"/>
    <s v="Active"/>
    <x v="0"/>
    <s v="Exceeds"/>
    <n v="4.5999999999999996"/>
    <n v="5"/>
    <d v="2019-01-17T00:00:00"/>
    <n v="1"/>
    <x v="0"/>
    <x v="0"/>
    <s v="Michael Albert"/>
    <n v="40"/>
    <x v="0"/>
    <n v="12.75"/>
    <s v="Very Satisfied"/>
    <x v="0"/>
    <x v="0"/>
  </r>
  <r>
    <s v="Ait Sidi, Karthikeyan   "/>
    <n v="10084"/>
    <s v="P031"/>
    <s v="D003"/>
    <n v="10084"/>
    <d v="2015-03-30T00:00:00"/>
    <n v="104437"/>
    <x v="0"/>
    <d v="1975-05-05T00:00:00"/>
    <s v="Married"/>
    <s v="US Citizen"/>
    <s v="White"/>
    <s v="MA"/>
    <n v="2148"/>
    <d v="2016-06-16T00:00:00"/>
    <s v="Career Change"/>
    <s v="Voluntarily Terminated"/>
    <x v="1"/>
    <s v="Fully Meets"/>
    <n v="4.96"/>
    <n v="3"/>
    <d v="2016-02-24T00:00:00"/>
    <n v="17"/>
    <x v="1"/>
    <x v="1"/>
    <s v="Simon Roup"/>
    <n v="48"/>
    <x v="0"/>
    <n v="1.1666666666666667"/>
    <s v="Neutral"/>
    <x v="1"/>
    <x v="1"/>
  </r>
  <r>
    <s v="Akinkuolie, Sarah"/>
    <n v="10196"/>
    <s v="P024"/>
    <s v="D004"/>
    <n v="10196"/>
    <d v="2011-07-05T00:00:00"/>
    <n v="64955"/>
    <x v="1"/>
    <d v="1988-09-19T00:00:00"/>
    <s v="Married"/>
    <s v="US Citizen"/>
    <s v="White"/>
    <s v="MA"/>
    <n v="1810"/>
    <d v="2012-09-24T00:00:00"/>
    <s v="Hours"/>
    <s v="Voluntarily Terminated"/>
    <x v="0"/>
    <s v="Fully Meets"/>
    <n v="3.02"/>
    <n v="3"/>
    <d v="2012-05-15T00:00:00"/>
    <n v="3"/>
    <x v="2"/>
    <x v="0"/>
    <s v="Kissy Sullivan"/>
    <n v="35"/>
    <x v="0"/>
    <n v="1.1666666666666667"/>
    <s v="Neutral"/>
    <x v="0"/>
    <x v="1"/>
  </r>
  <r>
    <s v="Alagbe,Trina"/>
    <n v="10088"/>
    <s v="P023"/>
    <s v="D004"/>
    <n v="10088"/>
    <d v="2008-01-07T00:00:00"/>
    <n v="64991"/>
    <x v="1"/>
    <d v="1988-09-27T00:00:00"/>
    <s v="Married"/>
    <s v="US Citizen"/>
    <s v="White"/>
    <s v="MA"/>
    <n v="1886"/>
    <m/>
    <s v="N/A-Stillemployed"/>
    <s v="Active"/>
    <x v="1"/>
    <s v="Fully Meets"/>
    <n v="4.84"/>
    <n v="5"/>
    <d v="2019-01-03T00:00:00"/>
    <n v="15"/>
    <x v="0"/>
    <x v="0"/>
    <s v="Elijiah Gray"/>
    <n v="35"/>
    <x v="0"/>
    <n v="16.25"/>
    <s v="Very Satisfied"/>
    <x v="2"/>
    <x v="0"/>
  </r>
  <r>
    <s v="Anderson, Carol "/>
    <n v="10069"/>
    <s v="P023"/>
    <s v="D004"/>
    <n v="10069"/>
    <d v="2011-07-11T00:00:00"/>
    <n v="50825"/>
    <x v="1"/>
    <d v="1989-09-08T00:00:00"/>
    <s v="Divorced"/>
    <s v="US Citizen"/>
    <s v="White"/>
    <s v="MA"/>
    <n v="2169"/>
    <d v="2016-09-06T00:00:00"/>
    <s v="Return To School"/>
    <s v="Voluntarily Terminated"/>
    <x v="2"/>
    <s v="Fully Meets"/>
    <n v="5"/>
    <n v="4"/>
    <d v="2016-02-01T00:00:00"/>
    <n v="2"/>
    <x v="0"/>
    <x v="0"/>
    <s v="Webster Butler"/>
    <n v="34"/>
    <x v="0"/>
    <n v="5.083333333333333"/>
    <s v="Satisfied"/>
    <x v="0"/>
    <x v="1"/>
  </r>
  <r>
    <s v="Anderson, Linda  "/>
    <n v="10002"/>
    <s v="P023"/>
    <s v="D004"/>
    <n v="10002"/>
    <d v="2012-01-09T00:00:00"/>
    <n v="57568"/>
    <x v="1"/>
    <d v="1977-05-22T00:00:00"/>
    <s v="Single"/>
    <s v="US Citizen"/>
    <s v="White"/>
    <s v="MA"/>
    <n v="1844"/>
    <m/>
    <s v="N/A-Stillemployed"/>
    <s v="Active"/>
    <x v="0"/>
    <s v="Exceeds"/>
    <n v="5"/>
    <n v="5"/>
    <d v="2019-01-07T00:00:00"/>
    <n v="15"/>
    <x v="0"/>
    <x v="0"/>
    <s v="Amy Dunn"/>
    <n v="46"/>
    <x v="0"/>
    <n v="12.25"/>
    <s v="Very Satisfied"/>
    <x v="3"/>
    <x v="0"/>
  </r>
  <r>
    <s v="Andreola, Colby"/>
    <n v="10194"/>
    <s v="P028"/>
    <s v="D006"/>
    <n v="10194"/>
    <d v="2014-11-10T00:00:00"/>
    <n v="95660"/>
    <x v="1"/>
    <d v="1979-05-24T00:00:00"/>
    <s v="Single"/>
    <s v="US Citizen"/>
    <s v="White"/>
    <s v="MA"/>
    <n v="2110"/>
    <m/>
    <s v="N/A-Stillemployed"/>
    <s v="Active"/>
    <x v="0"/>
    <s v="Fully Meets"/>
    <n v="3.04"/>
    <n v="3"/>
    <d v="2019-01-02T00:00:00"/>
    <n v="19"/>
    <x v="3"/>
    <x v="2"/>
    <s v="Alex Sweetwater"/>
    <n v="44"/>
    <x v="0"/>
    <n v="9.3333333333333339"/>
    <s v="Neutral"/>
    <x v="4"/>
    <x v="0"/>
  </r>
  <r>
    <s v="Athwal, Sam"/>
    <n v="10062"/>
    <s v="P023"/>
    <s v="D004"/>
    <n v="10062"/>
    <d v="2013-09-30T00:00:00"/>
    <n v="59365"/>
    <x v="0"/>
    <d v="1983-02-18T00:00:00"/>
    <s v="Widowed"/>
    <s v="US Citizen"/>
    <s v="White"/>
    <s v="MA"/>
    <n v="2199"/>
    <m/>
    <s v="N/A-Stillemployed"/>
    <s v="Active"/>
    <x v="3"/>
    <s v="Fully Meets"/>
    <n v="5"/>
    <n v="4"/>
    <d v="2019-02-25T00:00:00"/>
    <n v="19"/>
    <x v="0"/>
    <x v="0"/>
    <s v="Ketsia Liebig"/>
    <n v="41"/>
    <x v="0"/>
    <n v="10.5"/>
    <s v="Satisfied"/>
    <x v="5"/>
    <x v="0"/>
  </r>
  <r>
    <s v="Bachiochi, Linda"/>
    <n v="10114"/>
    <s v="P023"/>
    <s v="D004"/>
    <n v="10114"/>
    <d v="2009-07-06T00:00:00"/>
    <n v="47837"/>
    <x v="1"/>
    <d v="1970-02-11T00:00:00"/>
    <s v="Single"/>
    <s v="US Citizen"/>
    <s v="Black or African American"/>
    <s v="MA"/>
    <n v="1902"/>
    <m/>
    <s v="N/A-Stillemployed"/>
    <s v="Active"/>
    <x v="4"/>
    <s v="Fully Meets"/>
    <n v="4.46"/>
    <n v="3"/>
    <d v="2019-01-25T00:00:00"/>
    <n v="4"/>
    <x v="0"/>
    <x v="0"/>
    <s v="Brannon Miller"/>
    <n v="54"/>
    <x v="1"/>
    <n v="14.75"/>
    <s v="Neutral"/>
    <x v="6"/>
    <x v="0"/>
  </r>
  <r>
    <s v="Bacong, Alejandro "/>
    <n v="10250"/>
    <s v="P018"/>
    <s v="D003"/>
    <n v="10250"/>
    <d v="2015-01-05T00:00:00"/>
    <n v="50178"/>
    <x v="0"/>
    <d v="1988-01-07T00:00:00"/>
    <s v="Divorced"/>
    <s v="US Citizen"/>
    <s v="White"/>
    <s v="MA"/>
    <n v="1886"/>
    <m/>
    <s v="N/A-Stillemployed"/>
    <s v="Active"/>
    <x v="1"/>
    <s v="Fully Meets"/>
    <n v="5"/>
    <n v="5"/>
    <d v="2019-02-18T00:00:00"/>
    <n v="16"/>
    <x v="4"/>
    <x v="1"/>
    <s v="Peter Monroe"/>
    <n v="36"/>
    <x v="0"/>
    <n v="9.25"/>
    <s v="Very Satisfied"/>
    <x v="1"/>
    <x v="0"/>
  </r>
  <r>
    <s v="Baczenski, Rachael  "/>
    <n v="10252"/>
    <s v="P023"/>
    <s v="D004"/>
    <n v="10252"/>
    <d v="2011-01-10T00:00:00"/>
    <n v="54670"/>
    <x v="1"/>
    <d v="1974-01-12T00:00:00"/>
    <s v="Married"/>
    <s v="US Citizen"/>
    <s v="Black or African American"/>
    <s v="MA"/>
    <n v="1902"/>
    <d v="2017-01-12T00:00:00"/>
    <s v="Another Position"/>
    <s v="Voluntarily Terminated"/>
    <x v="4"/>
    <s v="Fully Meets"/>
    <n v="4.2"/>
    <n v="4"/>
    <d v="2016-01-30T00:00:00"/>
    <n v="12"/>
    <x v="0"/>
    <x v="0"/>
    <s v="David Stanley"/>
    <n v="50"/>
    <x v="1"/>
    <n v="6"/>
    <s v="Satisfied"/>
    <x v="0"/>
    <x v="1"/>
  </r>
  <r>
    <s v="Barbara, Thomas"/>
    <n v="10242"/>
    <s v="P023"/>
    <s v="D004"/>
    <n v="10196"/>
    <d v="2012-04-02T00:00:00"/>
    <n v="47211"/>
    <x v="0"/>
    <d v="1974-02-21T00:00:00"/>
    <s v="Married"/>
    <s v="US Citizen"/>
    <s v="Black or African American"/>
    <s v="MA"/>
    <n v="2062"/>
    <d v="2016-09-19T00:00:00"/>
    <s v="Unhappy"/>
    <s v="Voluntarily Terminated"/>
    <x v="4"/>
    <s v="Fully Meets"/>
    <n v="4.2"/>
    <n v="3"/>
    <d v="2016-05-06T00:00:00"/>
    <n v="15"/>
    <x v="0"/>
    <x v="0"/>
    <s v="Kissy Sullivan"/>
    <n v="50"/>
    <x v="1"/>
    <n v="4.416666666666667"/>
    <s v="Neutral"/>
    <x v="3"/>
    <x v="1"/>
  </r>
  <r>
    <s v="Barbossa, Hector"/>
    <n v="10012"/>
    <s v="P007"/>
    <s v="D003"/>
    <n v="10084"/>
    <d v="2014-11-10T00:00:00"/>
    <n v="92328"/>
    <x v="0"/>
    <d v="1988-07-04T00:00:00"/>
    <s v="Divorced"/>
    <s v="US Citizen"/>
    <s v="Black or African American"/>
    <s v="TX"/>
    <n v="78230"/>
    <m/>
    <s v="N/A-Stillemployed"/>
    <s v="Active"/>
    <x v="4"/>
    <s v="Exceeds"/>
    <n v="4.28"/>
    <n v="4"/>
    <d v="2019-02-25T00:00:00"/>
    <n v="9"/>
    <x v="5"/>
    <x v="1"/>
    <s v="Simon Roup"/>
    <n v="35"/>
    <x v="0"/>
    <n v="9.3333333333333339"/>
    <s v="Satisfied"/>
    <x v="4"/>
    <x v="0"/>
  </r>
  <r>
    <s v="Barone, Francesco  A"/>
    <n v="10265"/>
    <s v="P023"/>
    <s v="D004"/>
    <n v="10265"/>
    <d v="2012-02-20T00:00:00"/>
    <n v="58709"/>
    <x v="0"/>
    <d v="1983-07-20T00:00:00"/>
    <s v="Single"/>
    <s v="US Citizen"/>
    <s v="Two or more races"/>
    <s v="MA"/>
    <n v="1810"/>
    <m/>
    <s v="N/A-Stillemployed"/>
    <s v="Active"/>
    <x v="2"/>
    <s v="Fully Meets"/>
    <n v="4.5999999999999996"/>
    <n v="4"/>
    <d v="2019-02-14T00:00:00"/>
    <n v="7"/>
    <x v="0"/>
    <x v="0"/>
    <s v="Kelley Spirea"/>
    <n v="40"/>
    <x v="0"/>
    <n v="12.083333333333334"/>
    <s v="Satisfied"/>
    <x v="3"/>
    <x v="0"/>
  </r>
  <r>
    <s v="Barton, Nader"/>
    <n v="10066"/>
    <s v="P023"/>
    <s v="D004"/>
    <n v="10026"/>
    <d v="2012-09-24T00:00:00"/>
    <n v="52505"/>
    <x v="0"/>
    <d v="1977-07-15T00:00:00"/>
    <s v="Divorced"/>
    <s v="US Citizen"/>
    <s v="White"/>
    <s v="MA"/>
    <n v="2747"/>
    <d v="2017-04-06T00:00:00"/>
    <s v="Another Position"/>
    <s v="Voluntarily Terminated"/>
    <x v="5"/>
    <s v="Fully Meets"/>
    <n v="5"/>
    <n v="5"/>
    <d v="2017-03-02T00:00:00"/>
    <n v="1"/>
    <x v="0"/>
    <x v="0"/>
    <s v="Michael Albert"/>
    <n v="46"/>
    <x v="0"/>
    <n v="4.5"/>
    <s v="Very Satisfied"/>
    <x v="3"/>
    <x v="1"/>
  </r>
  <r>
    <s v="Bates, Norman"/>
    <n v="10061"/>
    <s v="P023"/>
    <s v="D004"/>
    <n v="10265"/>
    <d v="2011-02-21T00:00:00"/>
    <n v="57834"/>
    <x v="0"/>
    <d v="1981-10-18T00:00:00"/>
    <s v="Single"/>
    <s v="US Citizen"/>
    <s v="White"/>
    <s v="MA"/>
    <n v="2050"/>
    <d v="2017-08-04T00:00:00"/>
    <s v="Attendance"/>
    <s v="Terminated for Cause"/>
    <x v="2"/>
    <s v="Fully Meets"/>
    <n v="5"/>
    <n v="4"/>
    <d v="2017-04-05T00:00:00"/>
    <n v="20"/>
    <x v="0"/>
    <x v="0"/>
    <s v="Kelley Spirea"/>
    <n v="42"/>
    <x v="0"/>
    <n v="6.416666666666667"/>
    <s v="Satisfied"/>
    <x v="0"/>
    <x v="1"/>
  </r>
  <r>
    <s v="Beak, Kimberly  "/>
    <n v="10023"/>
    <s v="P024"/>
    <s v="D004"/>
    <n v="10265"/>
    <d v="2016-07-21T00:00:00"/>
    <n v="70131"/>
    <x v="1"/>
    <d v="1966-04-17T00:00:00"/>
    <s v="Married"/>
    <s v="US Citizen"/>
    <s v="White"/>
    <s v="MA"/>
    <n v="2145"/>
    <m/>
    <s v="N/A-Stillemployed"/>
    <s v="Active"/>
    <x v="3"/>
    <s v="Exceeds"/>
    <n v="4.4000000000000004"/>
    <n v="3"/>
    <d v="2019-01-14T00:00:00"/>
    <n v="16"/>
    <x v="2"/>
    <x v="0"/>
    <s v="Kelley Spirea"/>
    <n v="57"/>
    <x v="1"/>
    <n v="7.666666666666667"/>
    <s v="Neutral"/>
    <x v="7"/>
    <x v="0"/>
  </r>
  <r>
    <s v="Beatrice, Courtney "/>
    <n v="10055"/>
    <s v="P023"/>
    <s v="D004"/>
    <n v="10088"/>
    <d v="2011-04-04T00:00:00"/>
    <n v="59026"/>
    <x v="1"/>
    <d v="1970-10-27T00:00:00"/>
    <s v="Single"/>
    <s v="Eligible NonCitizen"/>
    <s v="White"/>
    <s v="MA"/>
    <n v="1915"/>
    <m/>
    <s v="N/A-Stillemployed"/>
    <s v="Active"/>
    <x v="2"/>
    <s v="Fully Meets"/>
    <n v="5"/>
    <n v="5"/>
    <d v="2019-01-14T00:00:00"/>
    <n v="12"/>
    <x v="0"/>
    <x v="0"/>
    <s v="Elijiah Gray"/>
    <n v="53"/>
    <x v="1"/>
    <n v="13"/>
    <s v="Very Satisfied"/>
    <x v="0"/>
    <x v="0"/>
  </r>
  <r>
    <s v="Becker, Renee"/>
    <n v="10245"/>
    <s v="P010"/>
    <s v="D003"/>
    <n v="10084"/>
    <d v="2014-07-07T00:00:00"/>
    <n v="110000"/>
    <x v="1"/>
    <d v="1986-04-04T00:00:00"/>
    <s v="Single"/>
    <s v="US Citizen"/>
    <s v="White"/>
    <s v="MA"/>
    <n v="2026"/>
    <d v="2015-09-12T00:00:00"/>
    <s v="Performance"/>
    <s v="Terminated for Cause"/>
    <x v="2"/>
    <s v="Fully Meets"/>
    <n v="4.5"/>
    <n v="4"/>
    <d v="2015-01-15T00:00:00"/>
    <n v="8"/>
    <x v="6"/>
    <x v="1"/>
    <s v="Simon Roup"/>
    <n v="38"/>
    <x v="0"/>
    <n v="1.1666666666666667"/>
    <s v="Satisfied"/>
    <x v="4"/>
    <x v="1"/>
  </r>
  <r>
    <s v="Becker, Scott"/>
    <n v="10277"/>
    <s v="P023"/>
    <s v="D004"/>
    <n v="10069"/>
    <d v="2013-07-08T00:00:00"/>
    <n v="53250"/>
    <x v="0"/>
    <d v="1979-04-06T00:00:00"/>
    <s v="Single"/>
    <s v="US Citizen"/>
    <s v="Asian"/>
    <s v="MA"/>
    <n v="2452"/>
    <m/>
    <s v="N/A-Stillemployed"/>
    <s v="Active"/>
    <x v="0"/>
    <s v="Fully Meets"/>
    <n v="4.2"/>
    <n v="4"/>
    <d v="2019-01-11T00:00:00"/>
    <n v="13"/>
    <x v="0"/>
    <x v="0"/>
    <s v="Webster Butler"/>
    <n v="45"/>
    <x v="0"/>
    <n v="10.75"/>
    <s v="Satisfied"/>
    <x v="5"/>
    <x v="0"/>
  </r>
  <r>
    <s v="Bernstein, Sean"/>
    <n v="10046"/>
    <s v="P023"/>
    <s v="D004"/>
    <n v="10002"/>
    <d v="2012-04-02T00:00:00"/>
    <n v="51044"/>
    <x v="0"/>
    <d v="1970-12-22T00:00:00"/>
    <s v="Single"/>
    <s v="US Citizen"/>
    <s v="White"/>
    <s v="MA"/>
    <n v="2072"/>
    <m/>
    <s v="N/A-Stillemployed"/>
    <s v="Active"/>
    <x v="2"/>
    <s v="Fully Meets"/>
    <n v="5"/>
    <n v="3"/>
    <d v="2019-01-14T00:00:00"/>
    <n v="13"/>
    <x v="0"/>
    <x v="0"/>
    <s v="Amy Dunn"/>
    <n v="53"/>
    <x v="1"/>
    <n v="12"/>
    <s v="Neutral"/>
    <x v="3"/>
    <x v="0"/>
  </r>
  <r>
    <s v="Biden, Lowan  M"/>
    <n v="10226"/>
    <s v="P023"/>
    <s v="D004"/>
    <n v="10062"/>
    <d v="2013-08-19T00:00:00"/>
    <n v="64919"/>
    <x v="1"/>
    <d v="1958-12-27T00:00:00"/>
    <s v="Divorced"/>
    <s v="US Citizen"/>
    <s v="Asian"/>
    <s v="MA"/>
    <n v="2027"/>
    <m/>
    <s v="N/A-Stillemployed"/>
    <s v="Active"/>
    <x v="1"/>
    <s v="Fully Meets"/>
    <n v="4.2"/>
    <n v="3"/>
    <d v="2019-01-10T00:00:00"/>
    <n v="2"/>
    <x v="0"/>
    <x v="0"/>
    <s v="Ketsia Liebig"/>
    <n v="65"/>
    <x v="2"/>
    <n v="10.583333333333334"/>
    <s v="Neutral"/>
    <x v="5"/>
    <x v="0"/>
  </r>
  <r>
    <s v="Billis, Helen"/>
    <n v="10003"/>
    <s v="P023"/>
    <s v="D004"/>
    <n v="10114"/>
    <d v="2014-07-07T00:00:00"/>
    <n v="62910"/>
    <x v="1"/>
    <d v="1989-09-01T00:00:00"/>
    <s v="Married"/>
    <s v="US Citizen"/>
    <s v="White"/>
    <s v="MA"/>
    <n v="2031"/>
    <m/>
    <s v="N/A-Stillemployed"/>
    <s v="Active"/>
    <x v="1"/>
    <s v="Exceeds"/>
    <n v="5"/>
    <n v="3"/>
    <d v="2019-02-27T00:00:00"/>
    <n v="19"/>
    <x v="0"/>
    <x v="0"/>
    <s v="Brannon Miller"/>
    <n v="34"/>
    <x v="0"/>
    <n v="9.75"/>
    <s v="Neutral"/>
    <x v="4"/>
    <x v="0"/>
  </r>
  <r>
    <s v="Blount, Dianna"/>
    <n v="10294"/>
    <s v="P024"/>
    <s v="D004"/>
    <n v="10026"/>
    <d v="2011-04-04T00:00:00"/>
    <n v="66441"/>
    <x v="1"/>
    <d v="1990-09-21T00:00:00"/>
    <s v="Single"/>
    <s v="US Citizen"/>
    <s v="White"/>
    <s v="MA"/>
    <n v="2171"/>
    <m/>
    <s v="N/A-Stillemployed"/>
    <s v="Active"/>
    <x v="6"/>
    <s v="Needs Improvement"/>
    <n v="2"/>
    <n v="3"/>
    <d v="2019-02-27T00:00:00"/>
    <n v="3"/>
    <x v="2"/>
    <x v="0"/>
    <s v="Michael Albert"/>
    <n v="33"/>
    <x v="0"/>
    <n v="13"/>
    <s v="Neutral"/>
    <x v="0"/>
    <x v="0"/>
  </r>
  <r>
    <s v="Bondwell, Betsy"/>
    <n v="10267"/>
    <s v="P024"/>
    <s v="D004"/>
    <n v="10088"/>
    <d v="2011-01-10T00:00:00"/>
    <n v="57815"/>
    <x v="1"/>
    <d v="1967-01-16T00:00:00"/>
    <s v="Single"/>
    <s v="US Citizen"/>
    <s v="White"/>
    <s v="MA"/>
    <n v="2210"/>
    <d v="2014-04-04T00:00:00"/>
    <s v="Career Change"/>
    <s v="Voluntarily Terminated"/>
    <x v="2"/>
    <s v="Fully Meets"/>
    <n v="4.8"/>
    <n v="5"/>
    <d v="2014-03-04T00:00:00"/>
    <n v="5"/>
    <x v="2"/>
    <x v="0"/>
    <s v="Elijiah Gray"/>
    <n v="57"/>
    <x v="1"/>
    <n v="3.1666666666666665"/>
    <s v="Very Satisfied"/>
    <x v="0"/>
    <x v="1"/>
  </r>
  <r>
    <s v="Booth, Frank"/>
    <n v="10199"/>
    <s v="P013"/>
    <s v="D003"/>
    <n v="10084"/>
    <d v="2014-02-17T00:00:00"/>
    <n v="103613"/>
    <x v="0"/>
    <d v="1964-07-30T00:00:00"/>
    <s v="Single"/>
    <s v="US Citizen"/>
    <s v="Black or African American"/>
    <s v="CT"/>
    <n v="6033"/>
    <d v="2016-02-19T00:00:00"/>
    <s v="Learned That He Is A Gangster"/>
    <s v="Terminated for Cause"/>
    <x v="0"/>
    <s v="Fully Meets"/>
    <n v="3.5"/>
    <n v="5"/>
    <d v="2016-01-10T00:00:00"/>
    <n v="2"/>
    <x v="7"/>
    <x v="1"/>
    <s v="Simon Roup"/>
    <n v="59"/>
    <x v="1"/>
    <n v="2"/>
    <s v="Very Satisfied"/>
    <x v="4"/>
    <x v="1"/>
  </r>
  <r>
    <s v="Boutwell, Bonalyn"/>
    <n v="10081"/>
    <s v="P030"/>
    <s v="D001"/>
    <n v="10081"/>
    <d v="2015-02-16T00:00:00"/>
    <n v="106367"/>
    <x v="1"/>
    <d v="1987-04-04T00:00:00"/>
    <s v="Married"/>
    <s v="US Citizen"/>
    <s v="Black or African American"/>
    <s v="MA"/>
    <n v="2468"/>
    <m/>
    <s v="N/A-Stillemployed"/>
    <s v="Active"/>
    <x v="4"/>
    <s v="Fully Meets"/>
    <n v="5"/>
    <n v="4"/>
    <d v="2019-02-18T00:00:00"/>
    <n v="4"/>
    <x v="8"/>
    <x v="3"/>
    <s v="Brandon R. LeBlanc"/>
    <n v="37"/>
    <x v="0"/>
    <n v="9.0833333333333339"/>
    <s v="Satisfied"/>
    <x v="1"/>
    <x v="0"/>
  </r>
  <r>
    <s v="Bozzi, Charles"/>
    <n v="10175"/>
    <s v="P022"/>
    <s v="D004"/>
    <n v="10175"/>
    <d v="2013-09-30T00:00:00"/>
    <n v="74312"/>
    <x v="0"/>
    <d v="1970-03-10T00:00:00"/>
    <s v="Single"/>
    <s v="US Citizen"/>
    <s v="Asian"/>
    <s v="MA"/>
    <n v="1901"/>
    <d v="2014-08-07T00:00:00"/>
    <s v="Retiring"/>
    <s v="Voluntarily Terminated"/>
    <x v="1"/>
    <s v="Fully Meets"/>
    <n v="3.39"/>
    <n v="3"/>
    <d v="2014-02-20T00:00:00"/>
    <n v="14"/>
    <x v="9"/>
    <x v="0"/>
    <s v="Janet King"/>
    <n v="54"/>
    <x v="1"/>
    <n v="0.83333333333333337"/>
    <s v="Neutral"/>
    <x v="5"/>
    <x v="1"/>
  </r>
  <r>
    <s v="Brill, Donna"/>
    <n v="10177"/>
    <s v="P023"/>
    <s v="D004"/>
    <n v="10252"/>
    <d v="2012-04-02T00:00:00"/>
    <n v="53492"/>
    <x v="1"/>
    <d v="1990-08-24T00:00:00"/>
    <s v="Married"/>
    <s v="US Citizen"/>
    <s v="White"/>
    <s v="MA"/>
    <n v="1701"/>
    <d v="2013-06-15T00:00:00"/>
    <s v="Another Position"/>
    <s v="Voluntarily Terminated"/>
    <x v="2"/>
    <s v="Fully Meets"/>
    <n v="3.35"/>
    <n v="4"/>
    <d v="2013-03-04T00:00:00"/>
    <n v="6"/>
    <x v="0"/>
    <x v="0"/>
    <s v="David Stanley"/>
    <n v="33"/>
    <x v="0"/>
    <n v="1.1666666666666667"/>
    <s v="Satisfied"/>
    <x v="3"/>
    <x v="1"/>
  </r>
  <r>
    <s v="Brown, Mia"/>
    <n v="10238"/>
    <s v="P001"/>
    <s v="D001"/>
    <n v="10081"/>
    <d v="2008-10-27T00:00:00"/>
    <n v="63000"/>
    <x v="1"/>
    <d v="1987-11-24T00:00:00"/>
    <s v="Married"/>
    <s v="US Citizen"/>
    <s v="Black or African American"/>
    <s v="MA"/>
    <n v="1450"/>
    <m/>
    <s v="N/A-Stillemployed"/>
    <s v="Active"/>
    <x v="4"/>
    <s v="Fully Meets"/>
    <n v="4.5"/>
    <n v="2"/>
    <d v="2019-01-15T00:00:00"/>
    <n v="14"/>
    <x v="10"/>
    <x v="3"/>
    <s v="Brandon R. LeBlanc"/>
    <n v="36"/>
    <x v="0"/>
    <n v="15.416666666666666"/>
    <s v="Dissatisfied"/>
    <x v="2"/>
    <x v="0"/>
  </r>
  <r>
    <s v="Buccheri, Joseph  "/>
    <n v="10184"/>
    <s v="P024"/>
    <s v="D004"/>
    <n v="10069"/>
    <d v="2014-09-29T00:00:00"/>
    <n v="65288"/>
    <x v="0"/>
    <d v="1983-07-28T00:00:00"/>
    <s v="Single"/>
    <s v="US Citizen"/>
    <s v="White"/>
    <s v="MA"/>
    <n v="1013"/>
    <m/>
    <s v="N/A-Stillemployed"/>
    <s v="Active"/>
    <x v="2"/>
    <s v="Fully Meets"/>
    <n v="3.19"/>
    <n v="3"/>
    <d v="2019-02-01T00:00:00"/>
    <n v="9"/>
    <x v="2"/>
    <x v="0"/>
    <s v="Webster Butler"/>
    <n v="40"/>
    <x v="0"/>
    <n v="9.5"/>
    <s v="Neutral"/>
    <x v="4"/>
    <x v="0"/>
  </r>
  <r>
    <s v="Bugali, Josephine "/>
    <n v="10203"/>
    <s v="P023"/>
    <s v="D004"/>
    <n v="10196"/>
    <d v="2013-11-11T00:00:00"/>
    <n v="64375"/>
    <x v="1"/>
    <d v="1969-10-30T00:00:00"/>
    <s v="Separated"/>
    <s v="US Citizen"/>
    <s v="Black or African American"/>
    <s v="MA"/>
    <n v="2043"/>
    <m/>
    <s v="N/A-Stillemployed"/>
    <s v="Active"/>
    <x v="4"/>
    <s v="Fully Meets"/>
    <n v="3.5"/>
    <n v="5"/>
    <d v="2019-01-21T00:00:00"/>
    <n v="17"/>
    <x v="0"/>
    <x v="0"/>
    <s v="Kissy Sullivan"/>
    <n v="54"/>
    <x v="1"/>
    <n v="10.333333333333334"/>
    <s v="Very Satisfied"/>
    <x v="5"/>
    <x v="0"/>
  </r>
  <r>
    <s v="Bunbury, Jessica"/>
    <n v="10188"/>
    <s v="P003"/>
    <s v="D005"/>
    <n v="10188"/>
    <d v="2011-08-15T00:00:00"/>
    <n v="74326"/>
    <x v="1"/>
    <d v="1964-06-01T00:00:00"/>
    <s v="Married"/>
    <s v="Eligible NonCitizen"/>
    <s v="Black or African American"/>
    <s v="VA"/>
    <n v="21851"/>
    <d v="2014-08-02T00:00:00"/>
    <s v="Another Position"/>
    <s v="Voluntarily Terminated"/>
    <x v="2"/>
    <s v="Fully Meets"/>
    <n v="3.14"/>
    <n v="5"/>
    <d v="2013-02-10T00:00:00"/>
    <n v="19"/>
    <x v="11"/>
    <x v="4"/>
    <s v="John Smith"/>
    <n v="59"/>
    <x v="1"/>
    <n v="2.9166666666666665"/>
    <s v="Very Satisfied"/>
    <x v="0"/>
    <x v="1"/>
  </r>
  <r>
    <s v="Burke, Joelle"/>
    <n v="10107"/>
    <s v="P024"/>
    <s v="D004"/>
    <n v="10002"/>
    <d v="2012-03-05T00:00:00"/>
    <n v="63763"/>
    <x v="1"/>
    <d v="1980-03-02T00:00:00"/>
    <s v="Single"/>
    <s v="US Citizen"/>
    <s v="Black or African American"/>
    <s v="MA"/>
    <n v="2148"/>
    <m/>
    <s v="N/A-Stillemployed"/>
    <s v="Active"/>
    <x v="3"/>
    <s v="Fully Meets"/>
    <n v="4.51"/>
    <n v="4"/>
    <d v="2019-02-21T00:00:00"/>
    <n v="3"/>
    <x v="2"/>
    <x v="0"/>
    <s v="Amy Dunn"/>
    <n v="44"/>
    <x v="0"/>
    <n v="12.083333333333334"/>
    <s v="Satisfied"/>
    <x v="3"/>
    <x v="0"/>
  </r>
  <r>
    <s v="Burkett, Benjamin "/>
    <n v="10181"/>
    <s v="P024"/>
    <s v="D004"/>
    <n v="10062"/>
    <d v="2011-04-04T00:00:00"/>
    <n v="62162"/>
    <x v="0"/>
    <d v="1977-08-19T00:00:00"/>
    <s v="Married"/>
    <s v="US Citizen"/>
    <s v="White"/>
    <s v="MA"/>
    <n v="1890"/>
    <m/>
    <s v="N/A-Stillemployed"/>
    <s v="Active"/>
    <x v="1"/>
    <s v="Fully Meets"/>
    <n v="3.25"/>
    <n v="5"/>
    <d v="2019-01-14T00:00:00"/>
    <n v="15"/>
    <x v="2"/>
    <x v="0"/>
    <s v="Ketsia Liebig"/>
    <n v="46"/>
    <x v="0"/>
    <n v="13"/>
    <s v="Very Satisfied"/>
    <x v="0"/>
    <x v="0"/>
  </r>
  <r>
    <s v="Cady, Max "/>
    <n v="10150"/>
    <s v="P029"/>
    <s v="D006"/>
    <n v="10150"/>
    <d v="2011-08-15T00:00:00"/>
    <n v="77692"/>
    <x v="0"/>
    <d v="1966-11-22T00:00:00"/>
    <s v="Single"/>
    <s v="US Citizen"/>
    <s v="White"/>
    <s v="MA"/>
    <n v="2184"/>
    <m/>
    <s v="N/A-Stillemployed"/>
    <s v="Active"/>
    <x v="2"/>
    <s v="Fully Meets"/>
    <n v="3.84"/>
    <n v="3"/>
    <d v="2019-01-21T00:00:00"/>
    <n v="4"/>
    <x v="12"/>
    <x v="2"/>
    <s v="Jennifer Zamora"/>
    <n v="57"/>
    <x v="1"/>
    <n v="12.583333333333334"/>
    <s v="Neutral"/>
    <x v="0"/>
    <x v="0"/>
  </r>
  <r>
    <s v="Candie, Calvin"/>
    <n v="10001"/>
    <s v="P022"/>
    <s v="D004"/>
    <n v="10175"/>
    <d v="2016-01-28T00:00:00"/>
    <n v="72640"/>
    <x v="0"/>
    <d v="1983-08-09T00:00:00"/>
    <s v="Single"/>
    <s v="US Citizen"/>
    <s v="White"/>
    <s v="MA"/>
    <n v="2169"/>
    <m/>
    <s v="N/A-Stillemployed"/>
    <s v="Active"/>
    <x v="1"/>
    <s v="Exceeds"/>
    <n v="5"/>
    <n v="3"/>
    <d v="2019-02-22T00:00:00"/>
    <n v="14"/>
    <x v="9"/>
    <x v="0"/>
    <s v="Janet King"/>
    <n v="40"/>
    <x v="0"/>
    <n v="8.1666666666666661"/>
    <s v="Neutral"/>
    <x v="7"/>
    <x v="0"/>
  </r>
  <r>
    <s v="Carabbio, Judith"/>
    <n v="10085"/>
    <s v="P028"/>
    <s v="D006"/>
    <n v="10194"/>
    <d v="2013-11-11T00:00:00"/>
    <n v="93396"/>
    <x v="1"/>
    <d v="1987-04-05T00:00:00"/>
    <s v="Single"/>
    <s v="US Citizen"/>
    <s v="White"/>
    <s v="MA"/>
    <n v="2132"/>
    <m/>
    <s v="N/A-Stillemployed"/>
    <s v="Active"/>
    <x v="1"/>
    <s v="Fully Meets"/>
    <n v="4.96"/>
    <n v="4"/>
    <d v="2019-01-30T00:00:00"/>
    <n v="3"/>
    <x v="3"/>
    <x v="2"/>
    <s v="Alex Sweetwater"/>
    <n v="37"/>
    <x v="0"/>
    <n v="10.333333333333334"/>
    <s v="Satisfied"/>
    <x v="5"/>
    <x v="0"/>
  </r>
  <r>
    <s v="Carey, Michael  "/>
    <n v="10115"/>
    <s v="P023"/>
    <s v="D004"/>
    <n v="10265"/>
    <d v="2014-03-31T00:00:00"/>
    <n v="52846"/>
    <x v="0"/>
    <d v="1983-02-02T00:00:00"/>
    <s v="Single"/>
    <s v="US Citizen"/>
    <s v="Black or African American"/>
    <s v="MA"/>
    <n v="1701"/>
    <m/>
    <s v="N/A-Stillemployed"/>
    <s v="Active"/>
    <x v="0"/>
    <s v="Fully Meets"/>
    <n v="4.43"/>
    <n v="3"/>
    <d v="2019-02-01T00:00:00"/>
    <n v="14"/>
    <x v="0"/>
    <x v="0"/>
    <s v="Kelley Spirea"/>
    <n v="41"/>
    <x v="0"/>
    <n v="10"/>
    <s v="Neutral"/>
    <x v="4"/>
    <x v="0"/>
  </r>
  <r>
    <s v="Carr, Claudia  N"/>
    <n v="10082"/>
    <s v="P031"/>
    <s v="D003"/>
    <n v="10084"/>
    <d v="2016-06-30T00:00:00"/>
    <n v="100031"/>
    <x v="1"/>
    <d v="1986-06-06T00:00:00"/>
    <s v="Single"/>
    <s v="US Citizen"/>
    <s v="Black or African American"/>
    <s v="MA"/>
    <n v="1886"/>
    <m/>
    <s v="N/A-Stillemployed"/>
    <s v="Active"/>
    <x v="0"/>
    <s v="Fully Meets"/>
    <n v="5"/>
    <n v="5"/>
    <d v="2019-02-18T00:00:00"/>
    <n v="7"/>
    <x v="1"/>
    <x v="1"/>
    <s v="Simon Roup"/>
    <n v="37"/>
    <x v="0"/>
    <n v="7.75"/>
    <s v="Very Satisfied"/>
    <x v="7"/>
    <x v="0"/>
  </r>
  <r>
    <s v="Carter, Michelle "/>
    <n v="10040"/>
    <s v="P003"/>
    <s v="D005"/>
    <n v="10188"/>
    <d v="2014-08-18T00:00:00"/>
    <n v="71860"/>
    <x v="1"/>
    <d v="1963-05-15T00:00:00"/>
    <s v="Single"/>
    <s v="US Citizen"/>
    <s v="White"/>
    <s v="VT"/>
    <n v="5664"/>
    <m/>
    <s v="N/A-Stillemployed"/>
    <s v="Active"/>
    <x v="1"/>
    <s v="Fully Meets"/>
    <n v="5"/>
    <n v="5"/>
    <d v="2019-01-21T00:00:00"/>
    <n v="7"/>
    <x v="11"/>
    <x v="4"/>
    <s v="John Smith"/>
    <n v="60"/>
    <x v="2"/>
    <n v="9.5833333333333339"/>
    <s v="Very Satisfied"/>
    <x v="4"/>
    <x v="0"/>
  </r>
  <r>
    <s v="Chace, Beatrice "/>
    <n v="10067"/>
    <s v="P023"/>
    <s v="D004"/>
    <n v="10026"/>
    <d v="2014-09-29T00:00:00"/>
    <n v="61656"/>
    <x v="1"/>
    <d v="1951-01-02T00:00:00"/>
    <s v="Single"/>
    <s v="US Citizen"/>
    <s v="White"/>
    <s v="MA"/>
    <n v="2763"/>
    <m/>
    <s v="N/A-Stillemployed"/>
    <s v="Active"/>
    <x v="2"/>
    <s v="Fully Meets"/>
    <n v="5"/>
    <n v="4"/>
    <d v="2019-02-12T00:00:00"/>
    <n v="11"/>
    <x v="0"/>
    <x v="0"/>
    <s v="Michael Albert"/>
    <n v="73"/>
    <x v="2"/>
    <n v="9.5"/>
    <s v="Satisfied"/>
    <x v="4"/>
    <x v="0"/>
  </r>
  <r>
    <s v="Champaigne, Brian"/>
    <n v="10108"/>
    <s v="P005"/>
    <s v="D003"/>
    <n v="10150"/>
    <d v="2016-09-06T00:00:00"/>
    <n v="110929"/>
    <x v="0"/>
    <d v="1972-02-09T00:00:00"/>
    <s v="Married"/>
    <s v="US Citizen"/>
    <s v="White"/>
    <s v="MA"/>
    <n v="2045"/>
    <m/>
    <s v="N/A-Stillemployed"/>
    <s v="Active"/>
    <x v="1"/>
    <s v="Fully Meets"/>
    <n v="4.5"/>
    <n v="5"/>
    <d v="2019-01-15T00:00:00"/>
    <n v="8"/>
    <x v="13"/>
    <x v="1"/>
    <s v="Jennifer Zamora"/>
    <n v="52"/>
    <x v="1"/>
    <n v="7.583333333333333"/>
    <s v="Very Satisfied"/>
    <x v="7"/>
    <x v="0"/>
  </r>
  <r>
    <s v="Chan, Lin"/>
    <n v="10210"/>
    <s v="P023"/>
    <s v="D004"/>
    <n v="10088"/>
    <d v="2014-05-12T00:00:00"/>
    <n v="54237"/>
    <x v="1"/>
    <d v="1979-02-12T00:00:00"/>
    <s v="Single"/>
    <s v="US Citizen"/>
    <s v="White"/>
    <s v="MA"/>
    <n v="2170"/>
    <m/>
    <s v="N/A-Stillemployed"/>
    <s v="Active"/>
    <x v="1"/>
    <s v="Fully Meets"/>
    <n v="3.3"/>
    <n v="4"/>
    <d v="2019-02-19T00:00:00"/>
    <n v="11"/>
    <x v="0"/>
    <x v="0"/>
    <s v="Elijiah Gray"/>
    <n v="45"/>
    <x v="0"/>
    <n v="9.8333333333333339"/>
    <s v="Satisfied"/>
    <x v="4"/>
    <x v="0"/>
  </r>
  <r>
    <s v="Chang, Donovan  E"/>
    <n v="10154"/>
    <s v="P023"/>
    <s v="D004"/>
    <n v="10069"/>
    <d v="2013-07-08T00:00:00"/>
    <n v="60380"/>
    <x v="0"/>
    <d v="1983-08-24T00:00:00"/>
    <s v="Single"/>
    <s v="US Citizen"/>
    <s v="White"/>
    <s v="MA"/>
    <n v="1845"/>
    <m/>
    <s v="N/A-Stillemployed"/>
    <s v="Active"/>
    <x v="0"/>
    <s v="Fully Meets"/>
    <n v="3.8"/>
    <n v="5"/>
    <d v="2019-01-14T00:00:00"/>
    <n v="4"/>
    <x v="0"/>
    <x v="0"/>
    <s v="Webster Butler"/>
    <n v="40"/>
    <x v="0"/>
    <n v="10.75"/>
    <s v="Very Satisfied"/>
    <x v="5"/>
    <x v="0"/>
  </r>
  <r>
    <s v="Chigurh, Anton"/>
    <n v="10200"/>
    <s v="P003"/>
    <s v="D005"/>
    <n v="10200"/>
    <d v="2012-05-14T00:00:00"/>
    <n v="66808"/>
    <x v="0"/>
    <d v="1970-06-11T00:00:00"/>
    <s v="Single"/>
    <s v="Eligible NonCitizen"/>
    <s v="Black or African American"/>
    <s v="TX"/>
    <n v="78207"/>
    <m/>
    <s v="N/A-Stillemployed"/>
    <s v="Active"/>
    <x v="3"/>
    <s v="Fully Meets"/>
    <n v="3"/>
    <n v="5"/>
    <d v="2019-01-19T00:00:00"/>
    <n v="17"/>
    <x v="11"/>
    <x v="4"/>
    <s v="Lynn Daneault"/>
    <n v="53"/>
    <x v="1"/>
    <n v="11.833333333333334"/>
    <s v="Very Satisfied"/>
    <x v="3"/>
    <x v="0"/>
  </r>
  <r>
    <s v="Chivukula, Enola"/>
    <n v="10240"/>
    <s v="P023"/>
    <s v="D004"/>
    <n v="10002"/>
    <d v="2011-06-27T00:00:00"/>
    <n v="64786"/>
    <x v="1"/>
    <d v="1983-08-27T00:00:00"/>
    <s v="Single"/>
    <s v="US Citizen"/>
    <s v="White"/>
    <s v="MA"/>
    <n v="1775"/>
    <d v="2015-11-15T00:00:00"/>
    <s v="Relocation Out Of Area"/>
    <s v="Voluntarily Terminated"/>
    <x v="1"/>
    <s v="Fully Meets"/>
    <n v="4.3"/>
    <n v="4"/>
    <d v="2015-03-10T00:00:00"/>
    <n v="3"/>
    <x v="0"/>
    <x v="0"/>
    <s v="Amy Dunn"/>
    <n v="40"/>
    <x v="0"/>
    <n v="4.333333333333333"/>
    <s v="Satisfied"/>
    <x v="0"/>
    <x v="1"/>
  </r>
  <r>
    <s v="Cierpiszewski, Caroline  "/>
    <n v="10168"/>
    <s v="P023"/>
    <s v="D004"/>
    <n v="10062"/>
    <d v="2011-10-03T00:00:00"/>
    <n v="64816"/>
    <x v="1"/>
    <d v="1988-05-31T00:00:00"/>
    <s v="Single"/>
    <s v="Non-Citizen"/>
    <s v="Black or African American"/>
    <s v="MA"/>
    <n v="2044"/>
    <m/>
    <s v="N/A-Stillemployed"/>
    <s v="Active"/>
    <x v="1"/>
    <s v="Fully Meets"/>
    <n v="3.58"/>
    <n v="5"/>
    <d v="2019-01-30T00:00:00"/>
    <n v="3"/>
    <x v="0"/>
    <x v="0"/>
    <s v="Ketsia Liebig"/>
    <n v="35"/>
    <x v="0"/>
    <n v="12.5"/>
    <s v="Very Satisfied"/>
    <x v="0"/>
    <x v="0"/>
  </r>
  <r>
    <s v="Clayton, Rick"/>
    <n v="10220"/>
    <s v="P018"/>
    <s v="D003"/>
    <n v="10220"/>
    <d v="2012-09-05T00:00:00"/>
    <n v="68678"/>
    <x v="0"/>
    <d v="1985-09-05T00:00:00"/>
    <s v="Single"/>
    <s v="US Citizen"/>
    <s v="White"/>
    <s v="MA"/>
    <n v="2170"/>
    <m/>
    <s v="N/A-Stillemployed"/>
    <s v="Active"/>
    <x v="1"/>
    <s v="Fully Meets"/>
    <n v="4.7"/>
    <n v="3"/>
    <d v="2019-02-27T00:00:00"/>
    <n v="2"/>
    <x v="4"/>
    <x v="1"/>
    <s v="Eric Dougall"/>
    <n v="38"/>
    <x v="0"/>
    <n v="11.583333333333334"/>
    <s v="Neutral"/>
    <x v="3"/>
    <x v="0"/>
  </r>
  <r>
    <s v="Cloninger, Jennifer"/>
    <n v="10275"/>
    <s v="P024"/>
    <s v="D004"/>
    <n v="10114"/>
    <d v="2011-05-16T00:00:00"/>
    <n v="64066"/>
    <x v="1"/>
    <d v="1981-08-31T00:00:00"/>
    <s v="Married"/>
    <s v="US Citizen"/>
    <s v="White"/>
    <s v="MA"/>
    <n v="1752"/>
    <d v="2013-01-07T00:00:00"/>
    <s v="Unhappy"/>
    <s v="Voluntarily Terminated"/>
    <x v="2"/>
    <s v="Fully Meets"/>
    <n v="4.2"/>
    <n v="5"/>
    <d v="2012-05-03T00:00:00"/>
    <n v="9"/>
    <x v="2"/>
    <x v="0"/>
    <s v="Brannon Miller"/>
    <n v="42"/>
    <x v="0"/>
    <n v="1.5833333333333333"/>
    <s v="Very Satisfied"/>
    <x v="0"/>
    <x v="1"/>
  </r>
  <r>
    <s v="Close, Phil"/>
    <n v="10269"/>
    <s v="P024"/>
    <s v="D004"/>
    <n v="10252"/>
    <d v="2010-08-30T00:00:00"/>
    <n v="59369"/>
    <x v="0"/>
    <d v="1978-11-25T00:00:00"/>
    <s v="Married"/>
    <s v="US Citizen"/>
    <s v="White"/>
    <s v="MA"/>
    <n v="2169"/>
    <d v="2011-09-26T00:00:00"/>
    <s v="Career Change"/>
    <s v="Voluntarily Terminated"/>
    <x v="1"/>
    <s v="Fully Meets"/>
    <n v="4.2"/>
    <n v="4"/>
    <d v="2011-05-04T00:00:00"/>
    <n v="6"/>
    <x v="2"/>
    <x v="0"/>
    <s v="David Stanley"/>
    <n v="45"/>
    <x v="0"/>
    <n v="1"/>
    <s v="Satisfied"/>
    <x v="8"/>
    <x v="1"/>
  </r>
  <r>
    <s v="Clukey, Elijian"/>
    <n v="10029"/>
    <s v="P023"/>
    <s v="D004"/>
    <n v="10114"/>
    <d v="2016-07-06T00:00:00"/>
    <n v="50373"/>
    <x v="0"/>
    <d v="1980-08-26T00:00:00"/>
    <s v="Married"/>
    <s v="US Citizen"/>
    <s v="White"/>
    <s v="MA"/>
    <n v="2134"/>
    <m/>
    <s v="N/A-Stillemployed"/>
    <s v="Active"/>
    <x v="3"/>
    <s v="Exceeds"/>
    <n v="4.0999999999999996"/>
    <n v="4"/>
    <d v="2019-02-28T00:00:00"/>
    <n v="5"/>
    <x v="0"/>
    <x v="0"/>
    <s v="Brannon Miller"/>
    <n v="43"/>
    <x v="0"/>
    <n v="7.75"/>
    <s v="Satisfied"/>
    <x v="7"/>
    <x v="0"/>
  </r>
  <r>
    <s v="Cockel, James"/>
    <n v="10261"/>
    <s v="P023"/>
    <s v="D004"/>
    <n v="10252"/>
    <d v="2013-07-08T00:00:00"/>
    <n v="63108"/>
    <x v="0"/>
    <d v="1977-09-08T00:00:00"/>
    <s v="Single"/>
    <s v="US Citizen"/>
    <s v="White"/>
    <s v="MA"/>
    <n v="2452"/>
    <m/>
    <s v="N/A-Stillemployed"/>
    <s v="Active"/>
    <x v="3"/>
    <s v="Fully Meets"/>
    <n v="4.4000000000000004"/>
    <n v="5"/>
    <d v="2019-01-14T00:00:00"/>
    <n v="3"/>
    <x v="0"/>
    <x v="0"/>
    <s v="David Stanley"/>
    <n v="46"/>
    <x v="0"/>
    <n v="10.75"/>
    <s v="Very Satisfied"/>
    <x v="5"/>
    <x v="0"/>
  </r>
  <r>
    <s v="Cole, Spencer"/>
    <n v="10292"/>
    <s v="P023"/>
    <s v="D004"/>
    <n v="10196"/>
    <d v="2011-07-11T00:00:00"/>
    <n v="59144"/>
    <x v="0"/>
    <d v="1979-08-12T00:00:00"/>
    <s v="Single"/>
    <s v="US Citizen"/>
    <s v="Black or African American"/>
    <s v="MA"/>
    <n v="1880"/>
    <d v="2016-09-23T00:00:00"/>
    <s v="Performance"/>
    <s v="Terminated for Cause"/>
    <x v="0"/>
    <s v="Needs Improvement"/>
    <n v="2"/>
    <n v="3"/>
    <d v="2016-05-01T00:00:00"/>
    <n v="16"/>
    <x v="0"/>
    <x v="0"/>
    <s v="Kissy Sullivan"/>
    <n v="44"/>
    <x v="0"/>
    <n v="5.166666666666667"/>
    <s v="Neutral"/>
    <x v="0"/>
    <x v="1"/>
  </r>
  <r>
    <s v="Corleone, Michael"/>
    <n v="10282"/>
    <s v="P022"/>
    <s v="D004"/>
    <n v="10175"/>
    <d v="2010-07-20T00:00:00"/>
    <n v="68051"/>
    <x v="0"/>
    <d v="1975-12-17T00:00:00"/>
    <s v="Divorced"/>
    <s v="US Citizen"/>
    <s v="White"/>
    <s v="MA"/>
    <n v="1803"/>
    <m/>
    <s v="N/A-Stillemployed"/>
    <s v="Active"/>
    <x v="6"/>
    <s v="Needs Improvement"/>
    <n v="4.13"/>
    <n v="2"/>
    <d v="2019-01-14T00:00:00"/>
    <n v="3"/>
    <x v="9"/>
    <x v="0"/>
    <s v="Janet King"/>
    <n v="48"/>
    <x v="0"/>
    <n v="13.666666666666666"/>
    <s v="Dissatisfied"/>
    <x v="8"/>
    <x v="0"/>
  </r>
  <r>
    <s v="Corleone, Vito"/>
    <n v="10019"/>
    <s v="P011"/>
    <s v="D004"/>
    <n v="10175"/>
    <d v="2009-01-05T00:00:00"/>
    <n v="170500"/>
    <x v="0"/>
    <d v="1983-03-19T00:00:00"/>
    <s v="Single"/>
    <s v="US Citizen"/>
    <s v="Black or African American"/>
    <s v="MA"/>
    <n v="2030"/>
    <m/>
    <s v="N/A-Stillemployed"/>
    <s v="Active"/>
    <x v="1"/>
    <s v="Exceeds"/>
    <n v="3.7"/>
    <n v="5"/>
    <d v="2019-02-04T00:00:00"/>
    <n v="15"/>
    <x v="14"/>
    <x v="0"/>
    <s v="Janet King"/>
    <n v="41"/>
    <x v="0"/>
    <n v="15.25"/>
    <s v="Very Satisfied"/>
    <x v="6"/>
    <x v="0"/>
  </r>
  <r>
    <s v="Cornett, Lisa "/>
    <n v="10094"/>
    <s v="P023"/>
    <s v="D004"/>
    <n v="10265"/>
    <d v="2015-01-05T00:00:00"/>
    <n v="63381"/>
    <x v="1"/>
    <d v="1977-03-31T00:00:00"/>
    <s v="Married"/>
    <s v="US Citizen"/>
    <s v="White"/>
    <s v="MA"/>
    <n v="2189"/>
    <m/>
    <s v="N/A-Stillemployed"/>
    <s v="Active"/>
    <x v="1"/>
    <s v="Fully Meets"/>
    <n v="4.7300000000000004"/>
    <n v="5"/>
    <d v="2019-02-14T00:00:00"/>
    <n v="6"/>
    <x v="0"/>
    <x v="0"/>
    <s v="Kelley Spirea"/>
    <n v="47"/>
    <x v="0"/>
    <n v="9.25"/>
    <s v="Very Satisfied"/>
    <x v="1"/>
    <x v="0"/>
  </r>
  <r>
    <s v="Costello, Frank"/>
    <n v="10193"/>
    <s v="P007"/>
    <s v="D003"/>
    <n v="10084"/>
    <d v="2015-03-30T00:00:00"/>
    <n v="83552"/>
    <x v="0"/>
    <d v="1986-08-26T00:00:00"/>
    <s v="Married"/>
    <s v="US Citizen"/>
    <s v="White"/>
    <s v="MA"/>
    <n v="1810"/>
    <m/>
    <s v="N/A-Stillemployed"/>
    <s v="Active"/>
    <x v="1"/>
    <s v="Fully Meets"/>
    <n v="3.04"/>
    <n v="3"/>
    <d v="2019-01-22T00:00:00"/>
    <n v="2"/>
    <x v="5"/>
    <x v="1"/>
    <s v="Simon Roup"/>
    <n v="37"/>
    <x v="0"/>
    <n v="9"/>
    <s v="Neutral"/>
    <x v="1"/>
    <x v="0"/>
  </r>
  <r>
    <s v="Crimmings,   Jean"/>
    <n v="10132"/>
    <s v="P023"/>
    <s v="D004"/>
    <n v="10026"/>
    <d v="2016-07-06T00:00:00"/>
    <n v="56149"/>
    <x v="1"/>
    <d v="1987-04-10T00:00:00"/>
    <s v="Single"/>
    <s v="US Citizen"/>
    <s v="White"/>
    <s v="MA"/>
    <n v="1821"/>
    <m/>
    <s v="N/A-Stillemployed"/>
    <s v="Active"/>
    <x v="0"/>
    <s v="Fully Meets"/>
    <n v="4.12"/>
    <n v="5"/>
    <d v="2019-01-28T00:00:00"/>
    <n v="15"/>
    <x v="0"/>
    <x v="0"/>
    <s v="Michael Albert"/>
    <n v="36"/>
    <x v="0"/>
    <n v="7.75"/>
    <s v="Very Satisfied"/>
    <x v="7"/>
    <x v="0"/>
  </r>
  <r>
    <s v="Cross, Noah"/>
    <n v="10083"/>
    <s v="P032"/>
    <s v="D003"/>
    <n v="10250"/>
    <d v="2014-11-10T00:00:00"/>
    <n v="92329"/>
    <x v="0"/>
    <d v="1965-09-09T00:00:00"/>
    <s v="Single"/>
    <s v="US Citizen"/>
    <s v="White"/>
    <s v="CT"/>
    <n v="6278"/>
    <m/>
    <s v="N/A-Stillemployed"/>
    <s v="Active"/>
    <x v="3"/>
    <s v="Fully Meets"/>
    <n v="5"/>
    <n v="3"/>
    <d v="2019-01-02T00:00:00"/>
    <n v="5"/>
    <x v="15"/>
    <x v="1"/>
    <s v="Peter Monroe"/>
    <n v="58"/>
    <x v="1"/>
    <n v="9.3333333333333339"/>
    <s v="Neutral"/>
    <x v="4"/>
    <x v="0"/>
  </r>
  <r>
    <s v="Daneault, Lynn"/>
    <n v="10099"/>
    <s v="P025"/>
    <s v="D005"/>
    <n v="10099"/>
    <d v="2014-05-05T00:00:00"/>
    <n v="65729"/>
    <x v="1"/>
    <d v="1990-04-19T00:00:00"/>
    <s v="Single"/>
    <s v="US Citizen"/>
    <s v="White"/>
    <s v="VT"/>
    <n v="5473"/>
    <m/>
    <s v="N/A-Stillemployed"/>
    <s v="Active"/>
    <x v="1"/>
    <s v="Fully Meets"/>
    <n v="4.62"/>
    <n v="4"/>
    <d v="2019-01-24T00:00:00"/>
    <n v="8"/>
    <x v="16"/>
    <x v="4"/>
    <s v="Debra Houlihan"/>
    <n v="33"/>
    <x v="0"/>
    <n v="9.9166666666666661"/>
    <s v="Satisfied"/>
    <x v="4"/>
    <x v="0"/>
  </r>
  <r>
    <s v="Daniele, Ann  "/>
    <n v="10212"/>
    <s v="P032"/>
    <s v="D003"/>
    <n v="10250"/>
    <d v="2014-11-10T00:00:00"/>
    <n v="85028"/>
    <x v="1"/>
    <d v="1952-01-18T00:00:00"/>
    <s v="Married"/>
    <s v="US Citizen"/>
    <s v="White"/>
    <s v="CT"/>
    <n v="6033"/>
    <m/>
    <s v="N/A-Stillemployed"/>
    <s v="Active"/>
    <x v="0"/>
    <s v="Fully Meets"/>
    <n v="3.1"/>
    <n v="5"/>
    <d v="2019-02-12T00:00:00"/>
    <n v="19"/>
    <x v="15"/>
    <x v="1"/>
    <s v="Peter Monroe"/>
    <n v="72"/>
    <x v="2"/>
    <n v="9.3333333333333339"/>
    <s v="Very Satisfied"/>
    <x v="4"/>
    <x v="0"/>
  </r>
  <r>
    <s v="Darson, Jene'ya "/>
    <n v="10056"/>
    <s v="P023"/>
    <s v="D004"/>
    <n v="10088"/>
    <d v="2012-07-02T00:00:00"/>
    <n v="57583"/>
    <x v="1"/>
    <d v="1978-11-05T00:00:00"/>
    <s v="Married"/>
    <s v="US Citizen"/>
    <s v="White"/>
    <s v="MA"/>
    <n v="2110"/>
    <m/>
    <s v="N/A-Stillemployed"/>
    <s v="Active"/>
    <x v="1"/>
    <s v="Fully Meets"/>
    <n v="5"/>
    <n v="3"/>
    <d v="2019-02-25T00:00:00"/>
    <n v="1"/>
    <x v="0"/>
    <x v="0"/>
    <s v="Elijiah Gray"/>
    <n v="45"/>
    <x v="0"/>
    <n v="11.75"/>
    <s v="Neutral"/>
    <x v="3"/>
    <x v="0"/>
  </r>
  <r>
    <s v="Davis, Daniel"/>
    <n v="10143"/>
    <s v="P024"/>
    <s v="D004"/>
    <n v="10196"/>
    <d v="2011-11-07T00:00:00"/>
    <n v="56294"/>
    <x v="0"/>
    <d v="1979-09-14T00:00:00"/>
    <s v="Single"/>
    <s v="Eligible NonCitizen"/>
    <s v="Two or more races"/>
    <s v="MA"/>
    <n v="2458"/>
    <m/>
    <s v="N/A-Stillemployed"/>
    <s v="Active"/>
    <x v="0"/>
    <s v="Fully Meets"/>
    <n v="3.96"/>
    <n v="4"/>
    <d v="2019-02-27T00:00:00"/>
    <n v="6"/>
    <x v="2"/>
    <x v="0"/>
    <s v="Kissy Sullivan"/>
    <n v="44"/>
    <x v="0"/>
    <n v="12.416666666666666"/>
    <s v="Satisfied"/>
    <x v="0"/>
    <x v="0"/>
  </r>
  <r>
    <s v="Dee, Randy"/>
    <n v="10311"/>
    <s v="P023"/>
    <s v="D004"/>
    <n v="10114"/>
    <d v="2018-07-09T00:00:00"/>
    <n v="56991"/>
    <x v="0"/>
    <d v="1988-04-15T00:00:00"/>
    <s v="Married"/>
    <s v="US Citizen"/>
    <s v="White"/>
    <s v="MA"/>
    <n v="2138"/>
    <m/>
    <s v="N/A-Stillemployed"/>
    <s v="Active"/>
    <x v="1"/>
    <s v="Fully Meets"/>
    <n v="4.3"/>
    <n v="4"/>
    <d v="2019-01-31T00:00:00"/>
    <n v="2"/>
    <x v="0"/>
    <x v="0"/>
    <s v="Brannon Miller"/>
    <n v="35"/>
    <x v="0"/>
    <n v="5.75"/>
    <s v="Satisfied"/>
    <x v="9"/>
    <x v="0"/>
  </r>
  <r>
    <s v="DeGweck,  James"/>
    <n v="10070"/>
    <s v="P023"/>
    <s v="D004"/>
    <n v="10069"/>
    <d v="2011-05-16T00:00:00"/>
    <n v="55722"/>
    <x v="0"/>
    <d v="1977-10-31T00:00:00"/>
    <s v="Married"/>
    <s v="US Citizen"/>
    <s v="White"/>
    <s v="MA"/>
    <n v="1810"/>
    <d v="2016-06-08T00:00:00"/>
    <s v="Unhappy"/>
    <s v="Voluntarily Terminated"/>
    <x v="1"/>
    <s v="Fully Meets"/>
    <n v="5"/>
    <n v="4"/>
    <d v="2016-04-02T00:00:00"/>
    <n v="14"/>
    <x v="0"/>
    <x v="0"/>
    <s v="Webster Butler"/>
    <n v="46"/>
    <x v="0"/>
    <n v="5"/>
    <s v="Satisfied"/>
    <x v="0"/>
    <x v="1"/>
  </r>
  <r>
    <s v="Del Bosque, Keyla"/>
    <n v="10155"/>
    <s v="P028"/>
    <s v="D006"/>
    <n v="10194"/>
    <d v="2012-01-09T00:00:00"/>
    <n v="101199"/>
    <x v="1"/>
    <d v="1979-07-05T00:00:00"/>
    <s v="Single"/>
    <s v="US Citizen"/>
    <s v="Black or African American"/>
    <s v="MA"/>
    <n v="2176"/>
    <m/>
    <s v="N/A-Stillemployed"/>
    <s v="Active"/>
    <x v="6"/>
    <s v="Fully Meets"/>
    <n v="3.79"/>
    <n v="5"/>
    <d v="2019-01-25T00:00:00"/>
    <n v="8"/>
    <x v="3"/>
    <x v="2"/>
    <s v="Alex Sweetwater"/>
    <n v="44"/>
    <x v="0"/>
    <n v="12.25"/>
    <s v="Very Satisfied"/>
    <x v="3"/>
    <x v="0"/>
  </r>
  <r>
    <s v="Delarge, Alex"/>
    <n v="10306"/>
    <s v="P003"/>
    <s v="D005"/>
    <n v="10188"/>
    <d v="2014-09-29T00:00:00"/>
    <n v="61568"/>
    <x v="0"/>
    <d v="1975-11-02T00:00:00"/>
    <s v="Single"/>
    <s v="US Citizen"/>
    <s v="Two or more races"/>
    <s v="AL"/>
    <n v="36006"/>
    <m/>
    <s v="N/A-Stillemployed"/>
    <s v="Active"/>
    <x v="1"/>
    <s v="PIP"/>
    <n v="1.93"/>
    <n v="3"/>
    <d v="2019-01-30T00:00:00"/>
    <n v="5"/>
    <x v="11"/>
    <x v="4"/>
    <s v="John Smith"/>
    <n v="48"/>
    <x v="0"/>
    <n v="9.5"/>
    <s v="Neutral"/>
    <x v="4"/>
    <x v="0"/>
  </r>
  <r>
    <s v="Demita, Carla"/>
    <n v="10100"/>
    <s v="P024"/>
    <s v="D004"/>
    <n v="10265"/>
    <d v="2011-04-04T00:00:00"/>
    <n v="58275"/>
    <x v="1"/>
    <d v="1951-02-25T00:00:00"/>
    <s v="Separated"/>
    <s v="US Citizen"/>
    <s v="Black or African American"/>
    <s v="MA"/>
    <n v="2343"/>
    <d v="2015-11-04T00:00:00"/>
    <s v="More Money"/>
    <s v="Voluntarily Terminated"/>
    <x v="2"/>
    <s v="Fully Meets"/>
    <n v="4.62"/>
    <n v="5"/>
    <d v="2015-05-06T00:00:00"/>
    <n v="1"/>
    <x v="2"/>
    <x v="0"/>
    <s v="Kelley Spirea"/>
    <n v="73"/>
    <x v="2"/>
    <n v="4.583333333333333"/>
    <s v="Very Satisfied"/>
    <x v="0"/>
    <x v="1"/>
  </r>
  <r>
    <s v="Desimone, Carl "/>
    <n v="10310"/>
    <s v="P023"/>
    <s v="D004"/>
    <n v="10002"/>
    <d v="2014-07-07T00:00:00"/>
    <n v="53189"/>
    <x v="0"/>
    <d v="1967-04-19T00:00:00"/>
    <s v="Married"/>
    <s v="US Citizen"/>
    <s v="White"/>
    <s v="MA"/>
    <n v="2061"/>
    <m/>
    <s v="N/A-Stillemployed"/>
    <s v="Active"/>
    <x v="1"/>
    <s v="PIP"/>
    <n v="1.1200000000000001"/>
    <n v="2"/>
    <d v="2019-01-31T00:00:00"/>
    <n v="9"/>
    <x v="0"/>
    <x v="0"/>
    <s v="Amy Dunn"/>
    <n v="56"/>
    <x v="1"/>
    <n v="9.75"/>
    <s v="Dissatisfied"/>
    <x v="4"/>
    <x v="0"/>
  </r>
  <r>
    <s v="DeVito, Tommy"/>
    <n v="10197"/>
    <s v="P004"/>
    <s v="D003"/>
    <n v="10197"/>
    <d v="2017-02-15T00:00:00"/>
    <n v="96820"/>
    <x v="0"/>
    <d v="1983-09-04T00:00:00"/>
    <s v="Single"/>
    <s v="US Citizen"/>
    <s v="White"/>
    <s v="MA"/>
    <n v="2045"/>
    <m/>
    <s v="N/A-Stillemployed"/>
    <s v="Active"/>
    <x v="1"/>
    <s v="Fully Meets"/>
    <n v="3.01"/>
    <n v="5"/>
    <d v="2019-01-23T00:00:00"/>
    <n v="15"/>
    <x v="17"/>
    <x v="1"/>
    <s v="Brian Champaigne"/>
    <n v="40"/>
    <x v="0"/>
    <n v="7.083333333333333"/>
    <s v="Very Satisfied"/>
    <x v="10"/>
    <x v="0"/>
  </r>
  <r>
    <s v="Dickinson, Geoff "/>
    <n v="10276"/>
    <s v="P023"/>
    <s v="D004"/>
    <n v="10062"/>
    <d v="2014-05-12T00:00:00"/>
    <n v="51259"/>
    <x v="0"/>
    <d v="1982-11-15T00:00:00"/>
    <s v="Single"/>
    <s v="US Citizen"/>
    <s v="White"/>
    <s v="MA"/>
    <n v="2180"/>
    <m/>
    <s v="N/A-Stillemployed"/>
    <s v="Active"/>
    <x v="1"/>
    <s v="Fully Meets"/>
    <n v="4.3"/>
    <n v="4"/>
    <d v="2019-02-19T00:00:00"/>
    <n v="1"/>
    <x v="0"/>
    <x v="0"/>
    <s v="Ketsia Liebig"/>
    <n v="41"/>
    <x v="0"/>
    <n v="9.8333333333333339"/>
    <s v="Satisfied"/>
    <x v="4"/>
    <x v="0"/>
  </r>
  <r>
    <s v="Dietrich, Jenna  "/>
    <n v="10304"/>
    <s v="P003"/>
    <s v="D005"/>
    <n v="10188"/>
    <d v="2012-02-20T00:00:00"/>
    <n v="59231"/>
    <x v="1"/>
    <d v="1987-05-14T00:00:00"/>
    <s v="Single"/>
    <s v="US Citizen"/>
    <s v="White"/>
    <s v="WA"/>
    <n v="98052"/>
    <m/>
    <s v="N/A-Stillemployed"/>
    <s v="Active"/>
    <x v="7"/>
    <s v="PIP"/>
    <n v="2.2999999999999998"/>
    <n v="1"/>
    <d v="2019-01-29T00:00:00"/>
    <n v="17"/>
    <x v="11"/>
    <x v="4"/>
    <s v="John Smith"/>
    <n v="36"/>
    <x v="0"/>
    <n v="12.083333333333334"/>
    <s v="Very Dissatisfied"/>
    <x v="3"/>
    <x v="0"/>
  </r>
  <r>
    <s v="DiNocco, Lily "/>
    <n v="10284"/>
    <s v="P023"/>
    <s v="D004"/>
    <n v="10114"/>
    <d v="2013-01-07T00:00:00"/>
    <n v="61584"/>
    <x v="1"/>
    <d v="1978-12-02T00:00:00"/>
    <s v="Married"/>
    <s v="US Citizen"/>
    <s v="Black or African American"/>
    <s v="MA"/>
    <n v="2351"/>
    <m/>
    <s v="N/A-Stillemployed"/>
    <s v="Active"/>
    <x v="1"/>
    <s v="Needs Improvement"/>
    <n v="3.88"/>
    <n v="4"/>
    <d v="2019-01-18T00:00:00"/>
    <n v="6"/>
    <x v="0"/>
    <x v="0"/>
    <s v="Brannon Miller"/>
    <n v="45"/>
    <x v="0"/>
    <n v="11.25"/>
    <s v="Satisfied"/>
    <x v="5"/>
    <x v="0"/>
  </r>
  <r>
    <s v="Dobrin, Denisa  S"/>
    <n v="10207"/>
    <s v="P023"/>
    <s v="D004"/>
    <n v="10252"/>
    <d v="2012-04-02T00:00:00"/>
    <n v="46335"/>
    <x v="1"/>
    <d v="1986-10-07T00:00:00"/>
    <s v="Single"/>
    <s v="US Citizen"/>
    <s v="White"/>
    <s v="MA"/>
    <n v="2125"/>
    <m/>
    <s v="N/A-Stillemployed"/>
    <s v="Active"/>
    <x v="6"/>
    <s v="Fully Meets"/>
    <n v="3.4"/>
    <n v="5"/>
    <d v="2019-02-19T00:00:00"/>
    <n v="15"/>
    <x v="0"/>
    <x v="0"/>
    <s v="David Stanley"/>
    <n v="37"/>
    <x v="0"/>
    <n v="12"/>
    <s v="Very Satisfied"/>
    <x v="3"/>
    <x v="0"/>
  </r>
  <r>
    <s v="Dolan, Linda"/>
    <n v="10133"/>
    <s v="P018"/>
    <s v="D003"/>
    <n v="10250"/>
    <d v="2015-01-05T00:00:00"/>
    <n v="70621"/>
    <x v="1"/>
    <d v="1988-07-18T00:00:00"/>
    <s v="Married"/>
    <s v="US Citizen"/>
    <s v="White"/>
    <s v="MA"/>
    <n v="2119"/>
    <m/>
    <s v="N/A-Stillemployed"/>
    <s v="Active"/>
    <x v="3"/>
    <s v="Fully Meets"/>
    <n v="4.1100000000000003"/>
    <n v="4"/>
    <d v="2019-02-25T00:00:00"/>
    <n v="16"/>
    <x v="4"/>
    <x v="1"/>
    <s v="Peter Monroe"/>
    <n v="35"/>
    <x v="0"/>
    <n v="9.25"/>
    <s v="Satisfied"/>
    <x v="1"/>
    <x v="0"/>
  </r>
  <r>
    <s v="Dougall, Eric"/>
    <n v="10028"/>
    <s v="P017"/>
    <s v="D003"/>
    <n v="10150"/>
    <d v="2014-01-05T00:00:00"/>
    <n v="138888"/>
    <x v="0"/>
    <d v="1970-07-09T00:00:00"/>
    <s v="Single"/>
    <s v="US Citizen"/>
    <s v="Black or African American"/>
    <s v="MA"/>
    <n v="1886"/>
    <m/>
    <s v="N/A-Stillemployed"/>
    <s v="Active"/>
    <x v="1"/>
    <s v="Exceeds"/>
    <n v="4.3"/>
    <n v="5"/>
    <d v="2019-01-04T00:00:00"/>
    <n v="4"/>
    <x v="18"/>
    <x v="1"/>
    <s v="Jennifer Zamora"/>
    <n v="53"/>
    <x v="1"/>
    <n v="10.25"/>
    <s v="Very Satisfied"/>
    <x v="4"/>
    <x v="0"/>
  </r>
  <r>
    <s v="Driver, Elle"/>
    <n v="10006"/>
    <s v="P003"/>
    <s v="D005"/>
    <n v="10200"/>
    <d v="2011-01-10T00:00:00"/>
    <n v="74241"/>
    <x v="1"/>
    <d v="1988-11-08T00:00:00"/>
    <s v="Single"/>
    <s v="US Citizen"/>
    <s v="White"/>
    <s v="CA"/>
    <n v="90007"/>
    <m/>
    <s v="N/A-Stillemployed"/>
    <s v="Active"/>
    <x v="1"/>
    <s v="Exceeds"/>
    <n v="4.7699999999999996"/>
    <n v="5"/>
    <d v="2019-01-27T00:00:00"/>
    <n v="14"/>
    <x v="11"/>
    <x v="4"/>
    <s v="Lynn Daneault"/>
    <n v="35"/>
    <x v="0"/>
    <n v="13.166666666666666"/>
    <s v="Very Satisfied"/>
    <x v="0"/>
    <x v="0"/>
  </r>
  <r>
    <s v="Dunn, Amy  "/>
    <n v="10105"/>
    <s v="P022"/>
    <s v="D004"/>
    <n v="10175"/>
    <d v="2014-09-18T00:00:00"/>
    <n v="75188"/>
    <x v="1"/>
    <d v="1973-11-28T00:00:00"/>
    <s v="Single"/>
    <s v="US Citizen"/>
    <s v="White"/>
    <s v="MA"/>
    <n v="1731"/>
    <m/>
    <s v="N/A-Stillemployed"/>
    <s v="Active"/>
    <x v="2"/>
    <s v="Fully Meets"/>
    <n v="4.5199999999999996"/>
    <n v="4"/>
    <d v="2019-01-15T00:00:00"/>
    <n v="4"/>
    <x v="9"/>
    <x v="0"/>
    <s v="Janet King"/>
    <n v="50"/>
    <x v="1"/>
    <n v="9.5"/>
    <s v="Satisfied"/>
    <x v="4"/>
    <x v="0"/>
  </r>
  <r>
    <s v="Dunne, Amy"/>
    <n v="10211"/>
    <s v="P023"/>
    <s v="D004"/>
    <n v="10062"/>
    <d v="2010-04-26T00:00:00"/>
    <n v="62514"/>
    <x v="1"/>
    <d v="1973-09-23T00:00:00"/>
    <s v="Married"/>
    <s v="US Citizen"/>
    <s v="White"/>
    <s v="MA"/>
    <n v="1749"/>
    <m/>
    <s v="N/A-Stillemployed"/>
    <s v="Active"/>
    <x v="2"/>
    <s v="Fully Meets"/>
    <n v="2.9"/>
    <n v="3"/>
    <d v="2019-01-21T00:00:00"/>
    <n v="6"/>
    <x v="0"/>
    <x v="0"/>
    <s v="Ketsia Liebig"/>
    <n v="50"/>
    <x v="1"/>
    <n v="13.916666666666666"/>
    <s v="Neutral"/>
    <x v="8"/>
    <x v="0"/>
  </r>
  <r>
    <s v="Eaton, Marianne"/>
    <n v="10064"/>
    <s v="P023"/>
    <s v="D004"/>
    <n v="10196"/>
    <d v="2011-04-04T00:00:00"/>
    <n v="60070"/>
    <x v="1"/>
    <d v="1991-09-05T00:00:00"/>
    <s v="Married"/>
    <s v="US Citizen"/>
    <s v="White"/>
    <s v="MA"/>
    <n v="2343"/>
    <d v="2017-06-06T00:00:00"/>
    <s v="Military"/>
    <s v="Voluntarily Terminated"/>
    <x v="2"/>
    <s v="Fully Meets"/>
    <n v="5"/>
    <n v="3"/>
    <d v="2017-04-09T00:00:00"/>
    <n v="7"/>
    <x v="0"/>
    <x v="0"/>
    <s v="Kissy Sullivan"/>
    <n v="32"/>
    <x v="0"/>
    <n v="6.166666666666667"/>
    <s v="Neutral"/>
    <x v="0"/>
    <x v="1"/>
  </r>
  <r>
    <s v="Engdahl, Jean"/>
    <n v="10247"/>
    <s v="P023"/>
    <s v="D004"/>
    <n v="10265"/>
    <d v="2014-11-10T00:00:00"/>
    <n v="48888"/>
    <x v="0"/>
    <d v="1974-05-31T00:00:00"/>
    <s v="Single"/>
    <s v="US Citizen"/>
    <s v="White"/>
    <s v="MA"/>
    <n v="2026"/>
    <m/>
    <s v="N/A-Stillemployed"/>
    <s v="Active"/>
    <x v="0"/>
    <s v="Fully Meets"/>
    <n v="4.7"/>
    <n v="5"/>
    <d v="2019-02-13T00:00:00"/>
    <n v="8"/>
    <x v="0"/>
    <x v="0"/>
    <s v="Kelley Spirea"/>
    <n v="49"/>
    <x v="0"/>
    <n v="9.3333333333333339"/>
    <s v="Very Satisfied"/>
    <x v="4"/>
    <x v="0"/>
  </r>
  <r>
    <s v="England, Rex"/>
    <n v="10235"/>
    <s v="P023"/>
    <s v="D004"/>
    <n v="10265"/>
    <d v="2014-03-31T00:00:00"/>
    <n v="54285"/>
    <x v="0"/>
    <d v="1978-08-25T00:00:00"/>
    <s v="Married"/>
    <s v="US Citizen"/>
    <s v="White"/>
    <s v="MA"/>
    <n v="2045"/>
    <m/>
    <s v="N/A-Stillemployed"/>
    <s v="Active"/>
    <x v="3"/>
    <s v="Fully Meets"/>
    <n v="4.2"/>
    <n v="3"/>
    <d v="2019-01-11T00:00:00"/>
    <n v="3"/>
    <x v="0"/>
    <x v="0"/>
    <s v="Kelley Spirea"/>
    <n v="45"/>
    <x v="0"/>
    <n v="10"/>
    <s v="Neutral"/>
    <x v="4"/>
    <x v="0"/>
  </r>
  <r>
    <s v="Erilus, Angela"/>
    <n v="10299"/>
    <s v="P024"/>
    <s v="D004"/>
    <n v="10026"/>
    <d v="2014-07-07T00:00:00"/>
    <n v="56847"/>
    <x v="1"/>
    <d v="1989-08-25T00:00:00"/>
    <s v="Separated"/>
    <s v="US Citizen"/>
    <s v="White"/>
    <s v="MA"/>
    <n v="2133"/>
    <m/>
    <s v="N/A-Stillemployed"/>
    <s v="Active"/>
    <x v="1"/>
    <s v="PIP"/>
    <n v="3"/>
    <n v="1"/>
    <d v="2019-02-25T00:00:00"/>
    <n v="5"/>
    <x v="2"/>
    <x v="0"/>
    <s v="Michael Albert"/>
    <n v="34"/>
    <x v="0"/>
    <n v="9.75"/>
    <s v="Very Dissatisfied"/>
    <x v="4"/>
    <x v="0"/>
  </r>
  <r>
    <s v="Estremera, Miguel"/>
    <n v="10280"/>
    <s v="P023"/>
    <s v="D004"/>
    <n v="10026"/>
    <d v="2012-04-02T00:00:00"/>
    <n v="60340"/>
    <x v="0"/>
    <d v="1983-09-02T00:00:00"/>
    <s v="Single"/>
    <s v="US Citizen"/>
    <s v="White"/>
    <s v="MA"/>
    <n v="2129"/>
    <d v="2018-09-27T00:00:00"/>
    <s v="Attendance"/>
    <s v="Terminated for Cause"/>
    <x v="2"/>
    <s v="Needs Improvement"/>
    <n v="5"/>
    <n v="4"/>
    <d v="2018-04-12T00:00:00"/>
    <n v="16"/>
    <x v="0"/>
    <x v="0"/>
    <s v="Michael Albert"/>
    <n v="40"/>
    <x v="0"/>
    <n v="6.416666666666667"/>
    <s v="Satisfied"/>
    <x v="3"/>
    <x v="1"/>
  </r>
  <r>
    <s v="Evensen, April"/>
    <n v="10296"/>
    <s v="P023"/>
    <s v="D004"/>
    <n v="10088"/>
    <d v="2014-02-17T00:00:00"/>
    <n v="59124"/>
    <x v="1"/>
    <d v="1989-05-06T00:00:00"/>
    <s v="Single"/>
    <s v="US Citizen"/>
    <s v="White"/>
    <s v="MA"/>
    <n v="2458"/>
    <d v="2018-02-25T00:00:00"/>
    <s v="No-Call, No-Show"/>
    <s v="Terminated for Cause"/>
    <x v="2"/>
    <s v="Needs Improvement"/>
    <n v="2.2999999999999998"/>
    <n v="3"/>
    <d v="2017-01-15T00:00:00"/>
    <n v="19"/>
    <x v="0"/>
    <x v="0"/>
    <s v="Elijiah Gray"/>
    <n v="34"/>
    <x v="0"/>
    <n v="4"/>
    <s v="Neutral"/>
    <x v="4"/>
    <x v="1"/>
  </r>
  <r>
    <s v="Exantus, Susan"/>
    <n v="10290"/>
    <s v="P028"/>
    <s v="D006"/>
    <n v="10194"/>
    <d v="2011-05-02T00:00:00"/>
    <n v="99280"/>
    <x v="1"/>
    <d v="1987-05-15T00:00:00"/>
    <s v="Married"/>
    <s v="US Citizen"/>
    <s v="Black or African American"/>
    <s v="MA"/>
    <n v="1749"/>
    <d v="2013-06-05T00:00:00"/>
    <s v="Attendance"/>
    <s v="Terminated for Cause"/>
    <x v="1"/>
    <s v="Needs Improvement"/>
    <n v="2.1"/>
    <n v="5"/>
    <d v="2012-08-10T00:00:00"/>
    <n v="19"/>
    <x v="3"/>
    <x v="2"/>
    <s v="Alex Sweetwater"/>
    <n v="36"/>
    <x v="0"/>
    <n v="2.0833333333333335"/>
    <s v="Very Satisfied"/>
    <x v="0"/>
    <x v="1"/>
  </r>
  <r>
    <s v="Faller, Megan "/>
    <n v="10263"/>
    <s v="P024"/>
    <s v="D004"/>
    <n v="10088"/>
    <d v="2014-07-07T00:00:00"/>
    <n v="71776"/>
    <x v="1"/>
    <d v="1978-09-22T00:00:00"/>
    <s v="Married"/>
    <s v="US Citizen"/>
    <s v="Black or African American"/>
    <s v="MA"/>
    <n v="1824"/>
    <m/>
    <s v="N/A-Stillemployed"/>
    <s v="Active"/>
    <x v="0"/>
    <s v="Fully Meets"/>
    <n v="4.4000000000000004"/>
    <n v="5"/>
    <d v="2019-02-22T00:00:00"/>
    <n v="17"/>
    <x v="2"/>
    <x v="0"/>
    <s v="Elijiah Gray"/>
    <n v="45"/>
    <x v="0"/>
    <n v="9.75"/>
    <s v="Very Satisfied"/>
    <x v="4"/>
    <x v="0"/>
  </r>
  <r>
    <s v="Fancett, Nicole"/>
    <n v="10136"/>
    <s v="P024"/>
    <s v="D004"/>
    <n v="10069"/>
    <d v="2014-02-17T00:00:00"/>
    <n v="65902"/>
    <x v="1"/>
    <d v="1987-09-27T00:00:00"/>
    <s v="Single"/>
    <s v="US Citizen"/>
    <s v="Black or African American"/>
    <s v="MA"/>
    <n v="2324"/>
    <m/>
    <s v="N/A-Stillemployed"/>
    <s v="Active"/>
    <x v="0"/>
    <s v="Fully Meets"/>
    <n v="4"/>
    <n v="4"/>
    <d v="2019-01-07T00:00:00"/>
    <n v="7"/>
    <x v="2"/>
    <x v="0"/>
    <s v="Webster Butler"/>
    <n v="36"/>
    <x v="0"/>
    <n v="10.083333333333334"/>
    <s v="Satisfied"/>
    <x v="4"/>
    <x v="0"/>
  </r>
  <r>
    <s v="Ferguson, Susan"/>
    <n v="10189"/>
    <s v="P023"/>
    <s v="D004"/>
    <n v="10069"/>
    <d v="2011-11-07T00:00:00"/>
    <n v="57748"/>
    <x v="1"/>
    <d v="1955-04-14T00:00:00"/>
    <s v="Married"/>
    <s v="US Citizen"/>
    <s v="White"/>
    <s v="MA"/>
    <n v="2176"/>
    <d v="2016-05-17T00:00:00"/>
    <s v="Military"/>
    <s v="Voluntarily Terminated"/>
    <x v="2"/>
    <s v="Fully Meets"/>
    <n v="3.13"/>
    <n v="3"/>
    <d v="2016-02-04T00:00:00"/>
    <n v="16"/>
    <x v="0"/>
    <x v="0"/>
    <s v="Webster Butler"/>
    <n v="68"/>
    <x v="2"/>
    <n v="4.5"/>
    <s v="Neutral"/>
    <x v="0"/>
    <x v="1"/>
  </r>
  <r>
    <s v="Fernandes, Nilson  "/>
    <n v="10308"/>
    <s v="P023"/>
    <s v="D004"/>
    <n v="10002"/>
    <d v="2015-05-11T00:00:00"/>
    <n v="64057"/>
    <x v="0"/>
    <d v="1989-10-18T00:00:00"/>
    <s v="Married"/>
    <s v="US Citizen"/>
    <s v="White"/>
    <s v="MA"/>
    <n v="2132"/>
    <m/>
    <s v="N/A-Stillemployed"/>
    <s v="Active"/>
    <x v="1"/>
    <s v="PIP"/>
    <n v="1.56"/>
    <n v="5"/>
    <d v="2019-01-03T00:00:00"/>
    <n v="15"/>
    <x v="0"/>
    <x v="0"/>
    <s v="Amy Dunn"/>
    <n v="34"/>
    <x v="0"/>
    <n v="8.8333333333333339"/>
    <s v="Very Satisfied"/>
    <x v="1"/>
    <x v="0"/>
  </r>
  <r>
    <s v="Fett, Boba"/>
    <n v="10309"/>
    <s v="P019"/>
    <s v="D003"/>
    <n v="10250"/>
    <d v="2015-03-30T00:00:00"/>
    <n v="53366"/>
    <x v="0"/>
    <d v="1987-06-18T00:00:00"/>
    <s v="Single"/>
    <s v="US Citizen"/>
    <s v="White"/>
    <s v="MA"/>
    <n v="2138"/>
    <m/>
    <s v="N/A-Stillemployed"/>
    <s v="Active"/>
    <x v="0"/>
    <s v="PIP"/>
    <n v="1.2"/>
    <n v="3"/>
    <d v="2019-02-04T00:00:00"/>
    <n v="2"/>
    <x v="19"/>
    <x v="1"/>
    <s v="Peter Monroe"/>
    <n v="36"/>
    <x v="0"/>
    <n v="9"/>
    <s v="Neutral"/>
    <x v="1"/>
    <x v="0"/>
  </r>
  <r>
    <s v="Fidelia,  Libby"/>
    <n v="10049"/>
    <s v="P023"/>
    <s v="D004"/>
    <n v="10114"/>
    <d v="2012-01-09T00:00:00"/>
    <n v="58530"/>
    <x v="1"/>
    <d v="1981-03-16T00:00:00"/>
    <s v="Married"/>
    <s v="US Citizen"/>
    <s v="White"/>
    <s v="MA"/>
    <n v="2155"/>
    <m/>
    <s v="N/A-Stillemployed"/>
    <s v="Active"/>
    <x v="2"/>
    <s v="Fully Meets"/>
    <n v="5"/>
    <n v="5"/>
    <d v="2019-01-29T00:00:00"/>
    <n v="19"/>
    <x v="0"/>
    <x v="0"/>
    <s v="Brannon Miller"/>
    <n v="43"/>
    <x v="0"/>
    <n v="12.25"/>
    <s v="Very Satisfied"/>
    <x v="3"/>
    <x v="0"/>
  </r>
  <r>
    <s v="Fitzpatrick, Michael  J"/>
    <n v="10093"/>
    <s v="P024"/>
    <s v="D004"/>
    <n v="10002"/>
    <d v="2011-05-16T00:00:00"/>
    <n v="72609"/>
    <x v="0"/>
    <d v="1981-10-01T00:00:00"/>
    <s v="Single"/>
    <s v="US Citizen"/>
    <s v="White"/>
    <s v="MA"/>
    <n v="2143"/>
    <d v="2013-06-24T00:00:00"/>
    <s v="Hours"/>
    <s v="Voluntarily Terminated"/>
    <x v="2"/>
    <s v="Fully Meets"/>
    <n v="4.76"/>
    <n v="5"/>
    <d v="2013-04-05T00:00:00"/>
    <n v="20"/>
    <x v="2"/>
    <x v="0"/>
    <s v="Amy Dunn"/>
    <n v="42"/>
    <x v="0"/>
    <n v="2.0833333333333335"/>
    <s v="Very Satisfied"/>
    <x v="0"/>
    <x v="1"/>
  </r>
  <r>
    <s v="Foreman, Tanya"/>
    <n v="10163"/>
    <s v="P024"/>
    <s v="D004"/>
    <n v="10062"/>
    <d v="2011-04-04T00:00:00"/>
    <n v="55965"/>
    <x v="1"/>
    <d v="1983-11-08T00:00:00"/>
    <s v="Married"/>
    <s v="US Citizen"/>
    <s v="White"/>
    <s v="MA"/>
    <n v="2170"/>
    <d v="2013-01-09T00:00:00"/>
    <s v="Career Change"/>
    <s v="Voluntarily Terminated"/>
    <x v="2"/>
    <s v="Fully Meets"/>
    <n v="3.66"/>
    <n v="3"/>
    <d v="2012-01-07T00:00:00"/>
    <n v="6"/>
    <x v="2"/>
    <x v="0"/>
    <s v="Ketsia Liebig"/>
    <n v="40"/>
    <x v="0"/>
    <n v="1.75"/>
    <s v="Neutral"/>
    <x v="0"/>
    <x v="1"/>
  </r>
  <r>
    <s v="Forrest, Alex"/>
    <n v="10305"/>
    <s v="P003"/>
    <s v="D005"/>
    <n v="10200"/>
    <d v="2014-09-29T00:00:00"/>
    <n v="70187"/>
    <x v="0"/>
    <d v="1975-07-07T00:00:00"/>
    <s v="Married"/>
    <s v="US Citizen"/>
    <s v="White"/>
    <s v="MA"/>
    <n v="2330"/>
    <d v="2018-08-19T00:00:00"/>
    <s v="Fatal Attraction"/>
    <s v="Terminated for Cause"/>
    <x v="3"/>
    <s v="PIP"/>
    <n v="2"/>
    <n v="5"/>
    <d v="2019-01-28T00:00:00"/>
    <n v="7"/>
    <x v="11"/>
    <x v="4"/>
    <s v="Lynn Daneault"/>
    <n v="48"/>
    <x v="0"/>
    <n v="3.8333333333333335"/>
    <s v="Very Satisfied"/>
    <x v="4"/>
    <x v="1"/>
  </r>
  <r>
    <s v="Foss, Jason"/>
    <n v="10015"/>
    <s v="P014"/>
    <s v="D003"/>
    <n v="10150"/>
    <d v="2011-04-15T00:00:00"/>
    <n v="178000"/>
    <x v="0"/>
    <d v="1980-07-05T00:00:00"/>
    <s v="Single"/>
    <s v="US Citizen"/>
    <s v="Black or African American"/>
    <s v="MA"/>
    <n v="1460"/>
    <m/>
    <s v="N/A-Stillemployed"/>
    <s v="Active"/>
    <x v="1"/>
    <s v="Exceeds"/>
    <n v="5"/>
    <n v="5"/>
    <d v="2019-01-07T00:00:00"/>
    <n v="15"/>
    <x v="20"/>
    <x v="1"/>
    <s v="Jennifer Zamora"/>
    <n v="43"/>
    <x v="0"/>
    <n v="12.916666666666666"/>
    <s v="Very Satisfied"/>
    <x v="0"/>
    <x v="0"/>
  </r>
  <r>
    <s v="Foster-Baker, Amy"/>
    <n v="10080"/>
    <s v="P030"/>
    <s v="D001"/>
    <n v="10080"/>
    <d v="2009-01-05T00:00:00"/>
    <n v="99351"/>
    <x v="1"/>
    <d v="1979-04-16T00:00:00"/>
    <s v="Married"/>
    <s v="US Citizen"/>
    <s v="White"/>
    <s v="MA"/>
    <n v="2050"/>
    <m/>
    <s v="N/A-Stillemployed"/>
    <s v="Active"/>
    <x v="8"/>
    <s v="Fully Meets"/>
    <n v="5"/>
    <n v="3"/>
    <d v="2019-02-08T00:00:00"/>
    <n v="3"/>
    <x v="8"/>
    <x v="3"/>
    <s v="Board of Directors"/>
    <n v="44"/>
    <x v="0"/>
    <n v="15.25"/>
    <s v="Neutral"/>
    <x v="6"/>
    <x v="0"/>
  </r>
  <r>
    <s v="Fraval, Maruk "/>
    <n v="10258"/>
    <s v="P003"/>
    <s v="D005"/>
    <n v="10200"/>
    <d v="2011-09-06T00:00:00"/>
    <n v="67251"/>
    <x v="0"/>
    <d v="1963-08-28T00:00:00"/>
    <s v="Single"/>
    <s v="US Citizen"/>
    <s v="Black or African American"/>
    <s v="CT"/>
    <n v="6050"/>
    <m/>
    <s v="N/A-Stillemployed"/>
    <s v="Active"/>
    <x v="6"/>
    <s v="Fully Meets"/>
    <n v="4.3"/>
    <n v="3"/>
    <d v="2019-01-27T00:00:00"/>
    <n v="7"/>
    <x v="11"/>
    <x v="4"/>
    <s v="Lynn Daneault"/>
    <n v="60"/>
    <x v="2"/>
    <n v="12.583333333333334"/>
    <s v="Neutral"/>
    <x v="0"/>
    <x v="0"/>
  </r>
  <r>
    <s v="Galia, Lisa"/>
    <n v="10273"/>
    <s v="P018"/>
    <s v="D003"/>
    <n v="10220"/>
    <d v="2010-05-01T00:00:00"/>
    <n v="65707"/>
    <x v="1"/>
    <d v="1968-07-06T00:00:00"/>
    <s v="Single"/>
    <s v="US Citizen"/>
    <s v="White"/>
    <s v="CT"/>
    <n v="6040"/>
    <m/>
    <s v="N/A-Stillemployed"/>
    <s v="Active"/>
    <x v="0"/>
    <s v="Fully Meets"/>
    <n v="4.7"/>
    <n v="4"/>
    <d v="2019-02-01T00:00:00"/>
    <n v="1"/>
    <x v="4"/>
    <x v="1"/>
    <s v="Eric Dougall"/>
    <n v="55"/>
    <x v="1"/>
    <n v="13.916666666666666"/>
    <s v="Satisfied"/>
    <x v="8"/>
    <x v="0"/>
  </r>
  <r>
    <s v="Garcia, Raul"/>
    <n v="10111"/>
    <s v="P023"/>
    <s v="D004"/>
    <n v="10252"/>
    <d v="2015-03-30T00:00:00"/>
    <n v="52249"/>
    <x v="0"/>
    <d v="1985-09-15T00:00:00"/>
    <s v="Single"/>
    <s v="US Citizen"/>
    <s v="White"/>
    <s v="MA"/>
    <n v="1905"/>
    <m/>
    <s v="N/A-Stillemployed"/>
    <s v="Active"/>
    <x v="3"/>
    <s v="Fully Meets"/>
    <n v="4.5"/>
    <n v="3"/>
    <d v="2019-02-18T00:00:00"/>
    <n v="5"/>
    <x v="0"/>
    <x v="0"/>
    <s v="David Stanley"/>
    <n v="38"/>
    <x v="0"/>
    <n v="9"/>
    <s v="Neutral"/>
    <x v="1"/>
    <x v="0"/>
  </r>
  <r>
    <s v="Gaul, Barbara"/>
    <n v="10257"/>
    <s v="P023"/>
    <s v="D004"/>
    <n v="10265"/>
    <d v="2011-05-16T00:00:00"/>
    <n v="53171"/>
    <x v="1"/>
    <d v="1983-12-02T00:00:00"/>
    <s v="Single"/>
    <s v="US Citizen"/>
    <s v="Black or African American"/>
    <s v="MA"/>
    <n v="2121"/>
    <m/>
    <s v="N/A-Stillemployed"/>
    <s v="Active"/>
    <x v="0"/>
    <s v="Fully Meets"/>
    <n v="4.2"/>
    <n v="4"/>
    <d v="2019-02-26T00:00:00"/>
    <n v="12"/>
    <x v="0"/>
    <x v="0"/>
    <s v="Kelley Spirea"/>
    <n v="40"/>
    <x v="0"/>
    <n v="12.833333333333334"/>
    <s v="Satisfied"/>
    <x v="0"/>
    <x v="0"/>
  </r>
  <r>
    <s v="Gentry, Mildred"/>
    <n v="10159"/>
    <s v="P023"/>
    <s v="D004"/>
    <n v="10026"/>
    <d v="2015-03-30T00:00:00"/>
    <n v="51337"/>
    <x v="1"/>
    <d v="1990-10-01T00:00:00"/>
    <s v="Married"/>
    <s v="US Citizen"/>
    <s v="Black or African American"/>
    <s v="MA"/>
    <n v="2145"/>
    <m/>
    <s v="N/A-Stillemployed"/>
    <s v="Active"/>
    <x v="0"/>
    <s v="Fully Meets"/>
    <n v="3.73"/>
    <n v="3"/>
    <d v="2019-01-16T00:00:00"/>
    <n v="19"/>
    <x v="0"/>
    <x v="0"/>
    <s v="Michael Albert"/>
    <n v="33"/>
    <x v="0"/>
    <n v="9"/>
    <s v="Neutral"/>
    <x v="1"/>
    <x v="0"/>
  </r>
  <r>
    <s v="Gerke, Melisa"/>
    <n v="10122"/>
    <s v="P023"/>
    <s v="D004"/>
    <n v="10088"/>
    <d v="2011-11-07T00:00:00"/>
    <n v="51505"/>
    <x v="1"/>
    <d v="1970-05-15T00:00:00"/>
    <s v="Divorced"/>
    <s v="US Citizen"/>
    <s v="Black or African American"/>
    <s v="MA"/>
    <n v="2330"/>
    <d v="2016-11-15T00:00:00"/>
    <s v="Hours"/>
    <s v="Voluntarily Terminated"/>
    <x v="4"/>
    <s v="Fully Meets"/>
    <n v="4.24"/>
    <n v="4"/>
    <d v="2016-04-29T00:00:00"/>
    <n v="2"/>
    <x v="0"/>
    <x v="0"/>
    <s v="Elijiah Gray"/>
    <n v="53"/>
    <x v="1"/>
    <n v="5"/>
    <s v="Satisfied"/>
    <x v="0"/>
    <x v="1"/>
  </r>
  <r>
    <s v="Gill, Whitney  "/>
    <n v="10142"/>
    <s v="P003"/>
    <s v="D005"/>
    <n v="10188"/>
    <d v="2014-07-07T00:00:00"/>
    <n v="59370"/>
    <x v="1"/>
    <d v="1971-07-10T00:00:00"/>
    <s v="Widowed"/>
    <s v="US Citizen"/>
    <s v="Black or African American"/>
    <s v="OH"/>
    <n v="43050"/>
    <d v="2015-09-05T00:00:00"/>
    <s v="Attendance"/>
    <s v="Terminated for Cause"/>
    <x v="6"/>
    <s v="Fully Meets"/>
    <n v="3.97"/>
    <n v="4"/>
    <d v="2014-01-15T00:00:00"/>
    <n v="7"/>
    <x v="11"/>
    <x v="4"/>
    <s v="John Smith"/>
    <n v="52"/>
    <x v="1"/>
    <n v="1.0833333333333333"/>
    <s v="Satisfied"/>
    <x v="4"/>
    <x v="1"/>
  </r>
  <r>
    <s v="Gilles, Alex"/>
    <n v="10283"/>
    <s v="P023"/>
    <s v="D004"/>
    <n v="10069"/>
    <d v="2012-04-02T00:00:00"/>
    <n v="54933"/>
    <x v="0"/>
    <d v="1974-08-09T00:00:00"/>
    <s v="Married"/>
    <s v="US Citizen"/>
    <s v="Black or African American"/>
    <s v="MA"/>
    <n v="2062"/>
    <d v="2015-06-25T00:00:00"/>
    <s v="Military"/>
    <s v="Voluntarily Terminated"/>
    <x v="4"/>
    <s v="Needs Improvement"/>
    <n v="3.97"/>
    <n v="4"/>
    <d v="2015-01-20T00:00:00"/>
    <n v="15"/>
    <x v="0"/>
    <x v="0"/>
    <s v="Webster Butler"/>
    <n v="49"/>
    <x v="0"/>
    <n v="3.1666666666666665"/>
    <s v="Satisfied"/>
    <x v="3"/>
    <x v="1"/>
  </r>
  <r>
    <s v="Girifalco, Evelyn"/>
    <n v="10018"/>
    <s v="P023"/>
    <s v="D004"/>
    <n v="10002"/>
    <d v="2014-09-29T00:00:00"/>
    <n v="57815"/>
    <x v="1"/>
    <d v="1980-05-08T00:00:00"/>
    <s v="Single"/>
    <s v="US Citizen"/>
    <s v="Two or more races"/>
    <s v="MA"/>
    <n v="2451"/>
    <m/>
    <s v="N/A-Stillemployed"/>
    <s v="Active"/>
    <x v="1"/>
    <s v="Exceeds"/>
    <n v="3.9"/>
    <n v="4"/>
    <d v="2019-02-07T00:00:00"/>
    <n v="3"/>
    <x v="0"/>
    <x v="0"/>
    <s v="Amy Dunn"/>
    <n v="43"/>
    <x v="0"/>
    <n v="9.5"/>
    <s v="Satisfied"/>
    <x v="4"/>
    <x v="0"/>
  </r>
  <r>
    <s v="Givens, Myriam"/>
    <n v="10255"/>
    <s v="P003"/>
    <s v="D005"/>
    <n v="10200"/>
    <d v="2015-02-16T00:00:00"/>
    <n v="61555"/>
    <x v="1"/>
    <d v="1989-09-22T00:00:00"/>
    <s v="Single"/>
    <s v="US Citizen"/>
    <s v="White"/>
    <s v="IN"/>
    <n v="46204"/>
    <m/>
    <s v="N/A-Stillemployed"/>
    <s v="Active"/>
    <x v="1"/>
    <s v="Fully Meets"/>
    <n v="4.5"/>
    <n v="5"/>
    <d v="2019-01-25T00:00:00"/>
    <n v="20"/>
    <x v="11"/>
    <x v="4"/>
    <s v="Lynn Daneault"/>
    <n v="34"/>
    <x v="0"/>
    <n v="9.0833333333333339"/>
    <s v="Very Satisfied"/>
    <x v="1"/>
    <x v="0"/>
  </r>
  <r>
    <s v="Goble, Taisha"/>
    <n v="10246"/>
    <s v="P010"/>
    <s v="D003"/>
    <n v="10084"/>
    <d v="2015-02-16T00:00:00"/>
    <n v="114800"/>
    <x v="1"/>
    <d v="1971-10-23T00:00:00"/>
    <s v="Single"/>
    <s v="US Citizen"/>
    <s v="White"/>
    <s v="MA"/>
    <n v="2127"/>
    <d v="2015-03-15T00:00:00"/>
    <s v="No-Call, No-Show"/>
    <s v="Terminated for Cause"/>
    <x v="1"/>
    <s v="Fully Meets"/>
    <n v="4.5999999999999996"/>
    <n v="4"/>
    <d v="2015-01-20T00:00:00"/>
    <n v="10"/>
    <x v="6"/>
    <x v="1"/>
    <s v="Simon Roup"/>
    <n v="52"/>
    <x v="1"/>
    <n v="0"/>
    <s v="Satisfied"/>
    <x v="1"/>
    <x v="1"/>
  </r>
  <r>
    <s v="Goeth, Amon"/>
    <n v="10228"/>
    <s v="P018"/>
    <s v="D003"/>
    <n v="10250"/>
    <d v="2015-03-30T00:00:00"/>
    <n v="74679"/>
    <x v="0"/>
    <d v="1989-11-24T00:00:00"/>
    <s v="Married"/>
    <s v="US Citizen"/>
    <s v="White"/>
    <s v="MA"/>
    <n v="2135"/>
    <m/>
    <s v="N/A-Stillemployed"/>
    <s v="Active"/>
    <x v="0"/>
    <s v="Fully Meets"/>
    <n v="4.3"/>
    <n v="5"/>
    <d v="2019-01-10T00:00:00"/>
    <n v="20"/>
    <x v="4"/>
    <x v="1"/>
    <s v="Peter Monroe"/>
    <n v="34"/>
    <x v="0"/>
    <n v="9"/>
    <s v="Very Satisfied"/>
    <x v="1"/>
    <x v="0"/>
  </r>
  <r>
    <s v="Gold, Shenice  "/>
    <n v="10243"/>
    <s v="P023"/>
    <s v="D004"/>
    <n v="10062"/>
    <d v="2013-11-11T00:00:00"/>
    <n v="53018"/>
    <x v="1"/>
    <d v="1992-06-18T00:00:00"/>
    <s v="Single"/>
    <s v="US Citizen"/>
    <s v="White"/>
    <s v="MA"/>
    <n v="2451"/>
    <m/>
    <s v="N/A-Stillemployed"/>
    <s v="Active"/>
    <x v="1"/>
    <s v="Fully Meets"/>
    <n v="4.3"/>
    <n v="5"/>
    <d v="2019-02-18T00:00:00"/>
    <n v="7"/>
    <x v="0"/>
    <x v="0"/>
    <s v="Ketsia Liebig"/>
    <n v="31"/>
    <x v="0"/>
    <n v="10.333333333333334"/>
    <s v="Very Satisfied"/>
    <x v="5"/>
    <x v="0"/>
  </r>
  <r>
    <s v="Gonzalez, Cayo"/>
    <n v="10031"/>
    <s v="P023"/>
    <s v="D004"/>
    <n v="10114"/>
    <d v="2011-07-11T00:00:00"/>
    <n v="59892"/>
    <x v="0"/>
    <d v="1969-09-29T00:00:00"/>
    <s v="Divorced"/>
    <s v="US Citizen"/>
    <s v="Black or African American"/>
    <s v="MA"/>
    <n v="2108"/>
    <m/>
    <s v="N/A-Stillemployed"/>
    <s v="Active"/>
    <x v="4"/>
    <s v="Exceeds"/>
    <n v="4.5"/>
    <n v="4"/>
    <d v="2019-02-18T00:00:00"/>
    <n v="1"/>
    <x v="0"/>
    <x v="0"/>
    <s v="Brannon Miller"/>
    <n v="54"/>
    <x v="1"/>
    <n v="12.666666666666666"/>
    <s v="Satisfied"/>
    <x v="0"/>
    <x v="0"/>
  </r>
  <r>
    <s v="Gonzalez, Juan"/>
    <n v="10300"/>
    <s v="P024"/>
    <s v="D004"/>
    <n v="10114"/>
    <d v="2010-04-26T00:00:00"/>
    <n v="68898"/>
    <x v="0"/>
    <d v="1964-10-12T00:00:00"/>
    <s v="Married"/>
    <s v="US Citizen"/>
    <s v="Black or African American"/>
    <s v="MA"/>
    <n v="2128"/>
    <d v="2011-05-30T00:00:00"/>
    <s v="Career Change"/>
    <s v="Voluntarily Terminated"/>
    <x v="4"/>
    <s v="PIP"/>
    <n v="3"/>
    <n v="3"/>
    <d v="2011-03-06T00:00:00"/>
    <n v="10"/>
    <x v="2"/>
    <x v="0"/>
    <s v="Brannon Miller"/>
    <n v="59"/>
    <x v="1"/>
    <n v="1.0833333333333333"/>
    <s v="Neutral"/>
    <x v="8"/>
    <x v="1"/>
  </r>
  <r>
    <s v="Gonzalez, Maria"/>
    <n v="10101"/>
    <s v="P018"/>
    <s v="D003"/>
    <n v="10250"/>
    <d v="2015-01-05T00:00:00"/>
    <n v="61242"/>
    <x v="1"/>
    <d v="1981-04-16T00:00:00"/>
    <s v="Separated"/>
    <s v="US Citizen"/>
    <s v="White"/>
    <s v="MA"/>
    <n v="2472"/>
    <m/>
    <s v="N/A-Stillemployed"/>
    <s v="Active"/>
    <x v="3"/>
    <s v="Fully Meets"/>
    <n v="4.6100000000000003"/>
    <n v="4"/>
    <d v="2019-01-28T00:00:00"/>
    <n v="11"/>
    <x v="4"/>
    <x v="1"/>
    <s v="Peter Monroe"/>
    <n v="42"/>
    <x v="0"/>
    <n v="9.25"/>
    <s v="Satisfied"/>
    <x v="1"/>
    <x v="0"/>
  </r>
  <r>
    <s v="Good, Susan"/>
    <n v="10237"/>
    <s v="P024"/>
    <s v="D004"/>
    <n v="10252"/>
    <d v="2014-05-12T00:00:00"/>
    <n v="66825"/>
    <x v="1"/>
    <d v="1986-05-25T00:00:00"/>
    <s v="Married"/>
    <s v="US Citizen"/>
    <s v="White"/>
    <s v="MA"/>
    <n v="1886"/>
    <m/>
    <s v="N/A-Stillemployed"/>
    <s v="Active"/>
    <x v="0"/>
    <s v="Fully Meets"/>
    <n v="4.5999999999999996"/>
    <n v="3"/>
    <d v="2019-02-07T00:00:00"/>
    <n v="20"/>
    <x v="2"/>
    <x v="0"/>
    <s v="David Stanley"/>
    <n v="37"/>
    <x v="0"/>
    <n v="9.8333333333333339"/>
    <s v="Neutral"/>
    <x v="4"/>
    <x v="0"/>
  </r>
  <r>
    <s v="Gordon, David"/>
    <n v="10051"/>
    <s v="P023"/>
    <s v="D004"/>
    <n v="10252"/>
    <d v="2012-07-02T00:00:00"/>
    <n v="48285"/>
    <x v="0"/>
    <d v="1979-05-21T00:00:00"/>
    <s v="Married"/>
    <s v="US Citizen"/>
    <s v="White"/>
    <s v="MA"/>
    <n v="2169"/>
    <m/>
    <s v="N/A-Stillemployed"/>
    <s v="Active"/>
    <x v="0"/>
    <s v="Fully Meets"/>
    <n v="5"/>
    <n v="3"/>
    <d v="2019-01-14T00:00:00"/>
    <n v="2"/>
    <x v="0"/>
    <x v="0"/>
    <s v="David Stanley"/>
    <n v="44"/>
    <x v="0"/>
    <n v="11.75"/>
    <s v="Neutral"/>
    <x v="3"/>
    <x v="0"/>
  </r>
  <r>
    <s v="Gosciminski, Phylicia  "/>
    <n v="10218"/>
    <s v="P024"/>
    <s v="D004"/>
    <n v="10196"/>
    <d v="2013-09-30T00:00:00"/>
    <n v="66149"/>
    <x v="1"/>
    <d v="1983-12-08T00:00:00"/>
    <s v="Separated"/>
    <s v="US Citizen"/>
    <s v="American Indian or Alaska Native"/>
    <s v="MA"/>
    <n v="1824"/>
    <m/>
    <s v="N/A-Stillemployed"/>
    <s v="Active"/>
    <x v="2"/>
    <s v="Fully Meets"/>
    <n v="4.4000000000000004"/>
    <n v="5"/>
    <d v="2019-02-21T00:00:00"/>
    <n v="1"/>
    <x v="2"/>
    <x v="0"/>
    <s v="Kissy Sullivan"/>
    <n v="40"/>
    <x v="0"/>
    <n v="10.5"/>
    <s v="Very Satisfied"/>
    <x v="5"/>
    <x v="0"/>
  </r>
  <r>
    <s v="Goyal, Roxana"/>
    <n v="10256"/>
    <s v="P023"/>
    <s v="D004"/>
    <n v="10196"/>
    <d v="2013-08-19T00:00:00"/>
    <n v="49256"/>
    <x v="1"/>
    <d v="1974-10-09T00:00:00"/>
    <s v="Married"/>
    <s v="US Citizen"/>
    <s v="Asian"/>
    <s v="MA"/>
    <n v="1864"/>
    <m/>
    <s v="N/A-Stillemployed"/>
    <s v="Active"/>
    <x v="0"/>
    <s v="Fully Meets"/>
    <n v="4.0999999999999996"/>
    <n v="5"/>
    <d v="2019-02-15T00:00:00"/>
    <n v="3"/>
    <x v="0"/>
    <x v="0"/>
    <s v="Kissy Sullivan"/>
    <n v="49"/>
    <x v="0"/>
    <n v="10.583333333333334"/>
    <s v="Very Satisfied"/>
    <x v="5"/>
    <x v="0"/>
  </r>
  <r>
    <s v="Gray, Elijiah  "/>
    <n v="10098"/>
    <s v="P022"/>
    <s v="D004"/>
    <n v="10175"/>
    <d v="2015-06-02T00:00:00"/>
    <n v="62957"/>
    <x v="0"/>
    <d v="1981-07-11T00:00:00"/>
    <s v="Divorced"/>
    <s v="US Citizen"/>
    <s v="White"/>
    <s v="MA"/>
    <n v="1752"/>
    <m/>
    <s v="N/A-Stillemployed"/>
    <s v="Active"/>
    <x v="3"/>
    <s v="Fully Meets"/>
    <n v="4.63"/>
    <n v="3"/>
    <d v="2019-01-04T00:00:00"/>
    <n v="2"/>
    <x v="9"/>
    <x v="0"/>
    <s v="Janet King"/>
    <n v="42"/>
    <x v="0"/>
    <n v="8.8333333333333339"/>
    <s v="Neutral"/>
    <x v="1"/>
    <x v="0"/>
  </r>
  <r>
    <s v="Gross, Paula"/>
    <n v="10059"/>
    <s v="P023"/>
    <s v="D004"/>
    <n v="10265"/>
    <d v="2011-02-21T00:00:00"/>
    <n v="63813"/>
    <x v="1"/>
    <d v="1983-05-21T00:00:00"/>
    <s v="Divorced"/>
    <s v="US Citizen"/>
    <s v="White"/>
    <s v="MA"/>
    <n v="2176"/>
    <d v="2014-01-11T00:00:00"/>
    <s v="More Money"/>
    <s v="Voluntarily Terminated"/>
    <x v="6"/>
    <s v="Fully Meets"/>
    <n v="5"/>
    <n v="5"/>
    <d v="2013-06-03T00:00:00"/>
    <n v="17"/>
    <x v="0"/>
    <x v="0"/>
    <s v="Kelley Spirea"/>
    <n v="40"/>
    <x v="0"/>
    <n v="2.8333333333333335"/>
    <s v="Very Satisfied"/>
    <x v="0"/>
    <x v="1"/>
  </r>
  <r>
    <s v="Gruber, Hans"/>
    <n v="10234"/>
    <s v="P004"/>
    <s v="D003"/>
    <n v="10197"/>
    <d v="2017-04-20T00:00:00"/>
    <n v="99020"/>
    <x v="0"/>
    <d v="1989-06-30T00:00:00"/>
    <s v="Married"/>
    <s v="US Citizen"/>
    <s v="Black or African American"/>
    <s v="MA"/>
    <n v="2134"/>
    <m/>
    <s v="N/A-Stillemployed"/>
    <s v="Active"/>
    <x v="1"/>
    <s v="Fully Meets"/>
    <n v="4.2"/>
    <n v="5"/>
    <d v="2019-01-28T00:00:00"/>
    <n v="8"/>
    <x v="17"/>
    <x v="1"/>
    <s v="Brian Champaigne"/>
    <n v="34"/>
    <x v="0"/>
    <n v="6.916666666666667"/>
    <s v="Very Satisfied"/>
    <x v="10"/>
    <x v="0"/>
  </r>
  <r>
    <s v="Guilianno, Mike"/>
    <n v="10109"/>
    <s v="P003"/>
    <s v="D005"/>
    <n v="10188"/>
    <d v="2012-03-07T00:00:00"/>
    <n v="71707"/>
    <x v="0"/>
    <d v="1969-02-09T00:00:00"/>
    <s v="Single"/>
    <s v="US Citizen"/>
    <s v="Two or more races"/>
    <s v="TN"/>
    <n v="37129"/>
    <d v="2014-10-31T00:00:00"/>
    <s v="Relocation Out Of Area"/>
    <s v="Voluntarily Terminated"/>
    <x v="0"/>
    <s v="Fully Meets"/>
    <n v="4.5"/>
    <n v="5"/>
    <d v="2013-02-01T00:00:00"/>
    <n v="20"/>
    <x v="11"/>
    <x v="4"/>
    <s v="John Smith"/>
    <n v="55"/>
    <x v="1"/>
    <n v="2.5833333333333335"/>
    <s v="Very Satisfied"/>
    <x v="3"/>
    <x v="1"/>
  </r>
  <r>
    <s v="Handschiegl, Joanne"/>
    <n v="10125"/>
    <s v="P023"/>
    <s v="D004"/>
    <n v="10026"/>
    <d v="2011-11-28T00:00:00"/>
    <n v="54828"/>
    <x v="1"/>
    <d v="1977-03-23T00:00:00"/>
    <s v="Married"/>
    <s v="US Citizen"/>
    <s v="White"/>
    <s v="MA"/>
    <n v="2127"/>
    <m/>
    <s v="N/A-Stillemployed"/>
    <s v="Active"/>
    <x v="2"/>
    <s v="Fully Meets"/>
    <n v="4.2"/>
    <n v="4"/>
    <d v="2019-02-22T00:00:00"/>
    <n v="13"/>
    <x v="0"/>
    <x v="0"/>
    <s v="Michael Albert"/>
    <n v="47"/>
    <x v="0"/>
    <n v="12.333333333333334"/>
    <s v="Satisfied"/>
    <x v="0"/>
    <x v="0"/>
  </r>
  <r>
    <s v="Hankard, Earnest"/>
    <n v="10074"/>
    <s v="P024"/>
    <s v="D004"/>
    <n v="10265"/>
    <d v="2013-11-11T00:00:00"/>
    <n v="64246"/>
    <x v="0"/>
    <d v="1988-08-10T00:00:00"/>
    <s v="Single"/>
    <s v="US Citizen"/>
    <s v="White"/>
    <s v="MA"/>
    <n v="2155"/>
    <m/>
    <s v="N/A-Stillemployed"/>
    <s v="Active"/>
    <x v="0"/>
    <s v="Fully Meets"/>
    <n v="5"/>
    <n v="3"/>
    <d v="2019-01-08T00:00:00"/>
    <n v="20"/>
    <x v="2"/>
    <x v="0"/>
    <s v="Kelley Spirea"/>
    <n v="35"/>
    <x v="0"/>
    <n v="10.333333333333334"/>
    <s v="Neutral"/>
    <x v="5"/>
    <x v="0"/>
  </r>
  <r>
    <s v="Harrington, Christie "/>
    <n v="10097"/>
    <s v="P023"/>
    <s v="D004"/>
    <n v="10069"/>
    <d v="2012-01-09T00:00:00"/>
    <n v="52177"/>
    <x v="1"/>
    <d v="1952-08-18T00:00:00"/>
    <s v="Single"/>
    <s v="US Citizen"/>
    <s v="White"/>
    <s v="MA"/>
    <n v="2324"/>
    <d v="2015-12-15T00:00:00"/>
    <s v="Retiring"/>
    <s v="Voluntarily Terminated"/>
    <x v="6"/>
    <s v="Fully Meets"/>
    <n v="4.6399999999999997"/>
    <n v="4"/>
    <d v="2015-05-02T00:00:00"/>
    <n v="8"/>
    <x v="0"/>
    <x v="0"/>
    <s v="Webster Butler"/>
    <n v="71"/>
    <x v="2"/>
    <n v="3.9166666666666665"/>
    <s v="Satisfied"/>
    <x v="3"/>
    <x v="1"/>
  </r>
  <r>
    <s v="Harrison, Kara"/>
    <n v="10007"/>
    <s v="P023"/>
    <s v="D004"/>
    <n v="10002"/>
    <d v="2014-05-12T00:00:00"/>
    <n v="62065"/>
    <x v="1"/>
    <d v="1974-05-02T00:00:00"/>
    <s v="Married"/>
    <s v="US Citizen"/>
    <s v="White"/>
    <s v="MA"/>
    <n v="1886"/>
    <m/>
    <s v="N/A-Stillemployed"/>
    <s v="Active"/>
    <x v="6"/>
    <s v="Exceeds"/>
    <n v="4.76"/>
    <n v="4"/>
    <d v="2019-02-15T00:00:00"/>
    <n v="5"/>
    <x v="0"/>
    <x v="0"/>
    <s v="Amy Dunn"/>
    <n v="49"/>
    <x v="0"/>
    <n v="9.8333333333333339"/>
    <s v="Satisfied"/>
    <x v="4"/>
    <x v="0"/>
  </r>
  <r>
    <s v="Heitzman, Anthony"/>
    <n v="10129"/>
    <s v="P023"/>
    <s v="D004"/>
    <n v="10062"/>
    <d v="2012-08-13T00:00:00"/>
    <n v="46998"/>
    <x v="0"/>
    <d v="1984-01-04T00:00:00"/>
    <s v="Single"/>
    <s v="US Citizen"/>
    <s v="White"/>
    <s v="MA"/>
    <n v="2149"/>
    <m/>
    <s v="N/A-Stillemployed"/>
    <s v="Active"/>
    <x v="2"/>
    <s v="Fully Meets"/>
    <n v="4.17"/>
    <n v="4"/>
    <d v="2019-02-11T00:00:00"/>
    <n v="1"/>
    <x v="0"/>
    <x v="0"/>
    <s v="Ketsia Liebig"/>
    <n v="40"/>
    <x v="0"/>
    <n v="11.583333333333334"/>
    <s v="Satisfied"/>
    <x v="3"/>
    <x v="0"/>
  </r>
  <r>
    <s v="Hendrickson, Trina"/>
    <n v="10075"/>
    <s v="P024"/>
    <s v="D004"/>
    <n v="10265"/>
    <d v="2011-01-10T00:00:00"/>
    <n v="68099"/>
    <x v="1"/>
    <d v="1972-08-27T00:00:00"/>
    <s v="Single"/>
    <s v="US Citizen"/>
    <s v="White"/>
    <s v="MA"/>
    <n v="2021"/>
    <d v="2013-06-18T00:00:00"/>
    <s v="Hours"/>
    <s v="Voluntarily Terminated"/>
    <x v="6"/>
    <s v="Fully Meets"/>
    <n v="5"/>
    <n v="3"/>
    <d v="2013-01-30T00:00:00"/>
    <n v="15"/>
    <x v="2"/>
    <x v="0"/>
    <s v="Kelley Spirea"/>
    <n v="51"/>
    <x v="1"/>
    <n v="2.4166666666666665"/>
    <s v="Neutral"/>
    <x v="0"/>
    <x v="1"/>
  </r>
  <r>
    <s v="Hitchcock, Alfred"/>
    <n v="10167"/>
    <s v="P003"/>
    <s v="D005"/>
    <n v="10188"/>
    <d v="2014-08-18T00:00:00"/>
    <n v="70545"/>
    <x v="0"/>
    <d v="1988-09-14T00:00:00"/>
    <s v="Married"/>
    <s v="US Citizen"/>
    <s v="American Indian or Alaska Native"/>
    <s v="NH"/>
    <n v="3062"/>
    <m/>
    <s v="N/A-Stillemployed"/>
    <s v="Active"/>
    <x v="1"/>
    <s v="Fully Meets"/>
    <n v="3.6"/>
    <n v="5"/>
    <d v="2019-01-30T00:00:00"/>
    <n v="9"/>
    <x v="11"/>
    <x v="4"/>
    <s v="John Smith"/>
    <n v="35"/>
    <x v="0"/>
    <n v="9.5833333333333339"/>
    <s v="Very Satisfied"/>
    <x v="4"/>
    <x v="0"/>
  </r>
  <r>
    <s v="Homberger, Adrienne  J"/>
    <n v="10195"/>
    <s v="P024"/>
    <s v="D004"/>
    <n v="10026"/>
    <d v="2011-08-15T00:00:00"/>
    <n v="63478"/>
    <x v="1"/>
    <d v="1984-02-16T00:00:00"/>
    <s v="Married"/>
    <s v="Non-Citizen"/>
    <s v="White"/>
    <s v="MA"/>
    <n v="2445"/>
    <d v="2012-04-07T00:00:00"/>
    <s v="Relocation Out Of Area"/>
    <s v="Voluntarily Terminated"/>
    <x v="1"/>
    <s v="Fully Meets"/>
    <n v="3.03"/>
    <n v="5"/>
    <d v="2012-03-05T00:00:00"/>
    <n v="16"/>
    <x v="2"/>
    <x v="0"/>
    <s v="Michael Albert"/>
    <n v="40"/>
    <x v="0"/>
    <n v="0.58333333333333337"/>
    <s v="Very Satisfied"/>
    <x v="0"/>
    <x v="1"/>
  </r>
  <r>
    <s v="Horton, Jayne"/>
    <n v="10112"/>
    <s v="P010"/>
    <s v="D003"/>
    <n v="10084"/>
    <d v="2015-03-30T00:00:00"/>
    <n v="97999"/>
    <x v="1"/>
    <d v="1984-02-21T00:00:00"/>
    <s v="Single"/>
    <s v="US Citizen"/>
    <s v="White"/>
    <s v="MA"/>
    <n v="2493"/>
    <m/>
    <s v="N/A-Stillemployed"/>
    <s v="Active"/>
    <x v="1"/>
    <s v="Fully Meets"/>
    <n v="4.4800000000000004"/>
    <n v="5"/>
    <d v="2019-01-03T00:00:00"/>
    <n v="4"/>
    <x v="6"/>
    <x v="1"/>
    <s v="Simon Roup"/>
    <n v="40"/>
    <x v="0"/>
    <n v="9"/>
    <s v="Very Satisfied"/>
    <x v="1"/>
    <x v="0"/>
  </r>
  <r>
    <s v="Houlihan, Debra"/>
    <n v="10272"/>
    <s v="P012"/>
    <s v="D005"/>
    <n v="10175"/>
    <d v="2014-05-05T00:00:00"/>
    <n v="180000"/>
    <x v="1"/>
    <d v="1966-03-17T00:00:00"/>
    <s v="Married"/>
    <s v="US Citizen"/>
    <s v="White"/>
    <s v="RI"/>
    <n v="2908"/>
    <m/>
    <s v="N/A-Stillemployed"/>
    <s v="Active"/>
    <x v="0"/>
    <s v="Fully Meets"/>
    <n v="4.5"/>
    <n v="4"/>
    <d v="2019-01-21T00:00:00"/>
    <n v="19"/>
    <x v="21"/>
    <x v="4"/>
    <s v="Janet King"/>
    <n v="58"/>
    <x v="1"/>
    <n v="9.9166666666666661"/>
    <s v="Satisfied"/>
    <x v="4"/>
    <x v="0"/>
  </r>
  <r>
    <s v="Howard, Estelle"/>
    <n v="10182"/>
    <s v="P002"/>
    <s v="D001"/>
    <n v="10081"/>
    <d v="2015-02-16T00:00:00"/>
    <n v="49920"/>
    <x v="1"/>
    <d v="1985-09-16T00:00:00"/>
    <s v="Married"/>
    <s v="US Citizen"/>
    <s v="Black or African American"/>
    <s v="MA"/>
    <n v="2170"/>
    <d v="2015-04-15T00:00:00"/>
    <s v="No-Call, No-Show"/>
    <s v="Terminated for Cause"/>
    <x v="1"/>
    <s v="Fully Meets"/>
    <n v="3.24"/>
    <n v="3"/>
    <d v="2015-04-15T00:00:00"/>
    <n v="6"/>
    <x v="22"/>
    <x v="3"/>
    <s v="Brandon R. LeBlanc"/>
    <n v="38"/>
    <x v="0"/>
    <n v="8.3333333333333329E-2"/>
    <s v="Neutral"/>
    <x v="1"/>
    <x v="1"/>
  </r>
  <r>
    <s v="Hudson, Jane"/>
    <n v="10248"/>
    <s v="P023"/>
    <s v="D004"/>
    <n v="10062"/>
    <d v="2012-02-20T00:00:00"/>
    <n v="55425"/>
    <x v="1"/>
    <d v="1986-06-10T00:00:00"/>
    <s v="Single"/>
    <s v="US Citizen"/>
    <s v="White"/>
    <s v="MA"/>
    <n v="2176"/>
    <m/>
    <s v="N/A-Stillemployed"/>
    <s v="Active"/>
    <x v="0"/>
    <s v="Fully Meets"/>
    <n v="4.8"/>
    <n v="4"/>
    <d v="2019-01-07T00:00:00"/>
    <n v="4"/>
    <x v="0"/>
    <x v="0"/>
    <s v="Ketsia Liebig"/>
    <n v="37"/>
    <x v="0"/>
    <n v="12.083333333333334"/>
    <s v="Satisfied"/>
    <x v="3"/>
    <x v="0"/>
  </r>
  <r>
    <s v="Hunts, Julissa"/>
    <n v="10201"/>
    <s v="P024"/>
    <s v="D004"/>
    <n v="10088"/>
    <d v="2016-06-06T00:00:00"/>
    <n v="69340"/>
    <x v="1"/>
    <d v="1984-03-11T00:00:00"/>
    <s v="Single"/>
    <s v="US Citizen"/>
    <s v="White"/>
    <s v="MA"/>
    <n v="2021"/>
    <m/>
    <s v="N/A-Stillemployed"/>
    <s v="Active"/>
    <x v="0"/>
    <s v="Fully Meets"/>
    <n v="3"/>
    <n v="5"/>
    <d v="2019-01-18T00:00:00"/>
    <n v="4"/>
    <x v="2"/>
    <x v="0"/>
    <s v="Elijiah Gray"/>
    <n v="40"/>
    <x v="0"/>
    <n v="7.833333333333333"/>
    <s v="Very Satisfied"/>
    <x v="7"/>
    <x v="0"/>
  </r>
  <r>
    <s v="Hutter, Rosalie"/>
    <n v="10214"/>
    <s v="P024"/>
    <s v="D004"/>
    <n v="10069"/>
    <d v="2015-06-05T00:00:00"/>
    <n v="64995"/>
    <x v="1"/>
    <d v="1992-05-07T00:00:00"/>
    <s v="Separated"/>
    <s v="US Citizen"/>
    <s v="White"/>
    <s v="MA"/>
    <n v="2351"/>
    <m/>
    <s v="N/A-Stillemployed"/>
    <s v="Active"/>
    <x v="1"/>
    <s v="Fully Meets"/>
    <n v="4.5"/>
    <n v="3"/>
    <d v="2019-02-14T00:00:00"/>
    <n v="6"/>
    <x v="2"/>
    <x v="0"/>
    <s v="Webster Butler"/>
    <n v="31"/>
    <x v="0"/>
    <n v="8.8333333333333339"/>
    <s v="Neutral"/>
    <x v="1"/>
    <x v="0"/>
  </r>
  <r>
    <s v="Huynh, Ming"/>
    <n v="10160"/>
    <s v="P024"/>
    <s v="D004"/>
    <n v="10002"/>
    <d v="2011-02-21T00:00:00"/>
    <n v="68182"/>
    <x v="1"/>
    <d v="1976-09-22T00:00:00"/>
    <s v="Divorced"/>
    <s v="US Citizen"/>
    <s v="White"/>
    <s v="MA"/>
    <n v="1742"/>
    <d v="2013-04-01T00:00:00"/>
    <s v="Unhappy"/>
    <s v="Voluntarily Terminated"/>
    <x v="2"/>
    <s v="Fully Meets"/>
    <n v="3.72"/>
    <n v="3"/>
    <d v="2013-02-01T00:00:00"/>
    <n v="18"/>
    <x v="2"/>
    <x v="0"/>
    <s v="Amy Dunn"/>
    <n v="47"/>
    <x v="0"/>
    <n v="2.0833333333333335"/>
    <s v="Neutral"/>
    <x v="0"/>
    <x v="1"/>
  </r>
  <r>
    <s v="Immediato, Walter"/>
    <n v="10289"/>
    <s v="P022"/>
    <s v="D004"/>
    <n v="10175"/>
    <d v="2011-02-21T00:00:00"/>
    <n v="83082"/>
    <x v="0"/>
    <d v="1976-11-15T00:00:00"/>
    <s v="Married"/>
    <s v="US Citizen"/>
    <s v="Asian"/>
    <s v="MA"/>
    <n v="2128"/>
    <d v="2012-09-24T00:00:00"/>
    <s v="Unhappy"/>
    <s v="Voluntarily Terminated"/>
    <x v="1"/>
    <s v="Needs Improvement"/>
    <n v="2.34"/>
    <n v="2"/>
    <d v="2012-04-12T00:00:00"/>
    <n v="4"/>
    <x v="9"/>
    <x v="0"/>
    <s v="Janet King"/>
    <n v="47"/>
    <x v="0"/>
    <n v="1.5833333333333333"/>
    <s v="Dissatisfied"/>
    <x v="0"/>
    <x v="1"/>
  </r>
  <r>
    <s v="Ivey, Rose "/>
    <n v="10139"/>
    <s v="P023"/>
    <s v="D004"/>
    <n v="10114"/>
    <d v="2013-08-19T00:00:00"/>
    <n v="51908"/>
    <x v="1"/>
    <d v="1991-01-28T00:00:00"/>
    <s v="Single"/>
    <s v="US Citizen"/>
    <s v="White"/>
    <s v="MA"/>
    <n v="1775"/>
    <m/>
    <s v="N/A-Stillemployed"/>
    <s v="Active"/>
    <x v="1"/>
    <s v="Fully Meets"/>
    <n v="3.99"/>
    <n v="3"/>
    <d v="2019-01-14T00:00:00"/>
    <n v="14"/>
    <x v="0"/>
    <x v="0"/>
    <s v="Brannon Miller"/>
    <n v="33"/>
    <x v="0"/>
    <n v="10.583333333333334"/>
    <s v="Neutral"/>
    <x v="5"/>
    <x v="0"/>
  </r>
  <r>
    <s v="Jackson, Maryellen"/>
    <n v="10227"/>
    <s v="P023"/>
    <s v="D004"/>
    <n v="10252"/>
    <d v="2012-11-05T00:00:00"/>
    <n v="61242"/>
    <x v="1"/>
    <d v="1972-09-11T00:00:00"/>
    <s v="Single"/>
    <s v="US Citizen"/>
    <s v="Black or African American"/>
    <s v="MA"/>
    <n v="2081"/>
    <m/>
    <s v="N/A-Stillemployed"/>
    <s v="Active"/>
    <x v="0"/>
    <s v="Fully Meets"/>
    <n v="4.0999999999999996"/>
    <n v="3"/>
    <d v="2019-01-17T00:00:00"/>
    <n v="7"/>
    <x v="0"/>
    <x v="0"/>
    <s v="David Stanley"/>
    <n v="51"/>
    <x v="1"/>
    <n v="11.416666666666666"/>
    <s v="Neutral"/>
    <x v="3"/>
    <x v="0"/>
  </r>
  <r>
    <s v="Jacobi, Hannah  "/>
    <n v="10236"/>
    <s v="P023"/>
    <s v="D004"/>
    <n v="10196"/>
    <d v="2013-09-30T00:00:00"/>
    <n v="45069"/>
    <x v="1"/>
    <d v="1966-03-22T00:00:00"/>
    <s v="Divorced"/>
    <s v="US Citizen"/>
    <s v="White"/>
    <s v="MA"/>
    <n v="1778"/>
    <m/>
    <s v="N/A-Stillemployed"/>
    <s v="Active"/>
    <x v="3"/>
    <s v="Fully Meets"/>
    <n v="4.3"/>
    <n v="5"/>
    <d v="2019-02-22T00:00:00"/>
    <n v="7"/>
    <x v="0"/>
    <x v="0"/>
    <s v="Kissy Sullivan"/>
    <n v="58"/>
    <x v="1"/>
    <n v="10.5"/>
    <s v="Very Satisfied"/>
    <x v="5"/>
    <x v="0"/>
  </r>
  <r>
    <s v="Jeannite, Tayana"/>
    <n v="10009"/>
    <s v="P024"/>
    <s v="D004"/>
    <n v="10062"/>
    <d v="2011-07-05T00:00:00"/>
    <n v="60724"/>
    <x v="1"/>
    <d v="1986-11-06T00:00:00"/>
    <s v="Divorced"/>
    <s v="US Citizen"/>
    <s v="American Indian or Alaska Native"/>
    <s v="MA"/>
    <n v="1821"/>
    <m/>
    <s v="N/A-Stillemployed"/>
    <s v="Active"/>
    <x v="0"/>
    <s v="Exceeds"/>
    <n v="4.5999999999999996"/>
    <n v="4"/>
    <d v="2019-02-25T00:00:00"/>
    <n v="11"/>
    <x v="2"/>
    <x v="0"/>
    <s v="Ketsia Liebig"/>
    <n v="37"/>
    <x v="0"/>
    <n v="12.75"/>
    <s v="Satisfied"/>
    <x v="0"/>
    <x v="0"/>
  </r>
  <r>
    <s v="Jhaveri, Sneha  "/>
    <n v="10060"/>
    <s v="P023"/>
    <s v="D004"/>
    <n v="10265"/>
    <d v="2014-01-06T00:00:00"/>
    <n v="60436"/>
    <x v="1"/>
    <d v="1964-04-13T00:00:00"/>
    <s v="Separated"/>
    <s v="US Citizen"/>
    <s v="White"/>
    <s v="MA"/>
    <n v="2109"/>
    <m/>
    <s v="N/A-Stillemployed"/>
    <s v="Active"/>
    <x v="0"/>
    <s v="Fully Meets"/>
    <n v="5"/>
    <n v="5"/>
    <d v="2019-01-21T00:00:00"/>
    <n v="9"/>
    <x v="0"/>
    <x v="0"/>
    <s v="Kelley Spirea"/>
    <n v="59"/>
    <x v="1"/>
    <n v="10.25"/>
    <s v="Very Satisfied"/>
    <x v="4"/>
    <x v="0"/>
  </r>
  <r>
    <s v="Johnson, George"/>
    <n v="10034"/>
    <s v="P023"/>
    <s v="D004"/>
    <n v="10026"/>
    <d v="2011-11-07T00:00:00"/>
    <n v="46837"/>
    <x v="0"/>
    <d v="1959-08-19T00:00:00"/>
    <s v="Married"/>
    <s v="US Citizen"/>
    <s v="White"/>
    <s v="MA"/>
    <n v="2445"/>
    <d v="2018-04-29T00:00:00"/>
    <s v="More Money"/>
    <s v="Voluntarily Terminated"/>
    <x v="6"/>
    <s v="Exceeds"/>
    <n v="4.7"/>
    <n v="4"/>
    <d v="2018-02-14T00:00:00"/>
    <n v="9"/>
    <x v="0"/>
    <x v="0"/>
    <s v="Michael Albert"/>
    <n v="64"/>
    <x v="2"/>
    <n v="6.416666666666667"/>
    <s v="Satisfied"/>
    <x v="0"/>
    <x v="1"/>
  </r>
  <r>
    <s v="Johnson, Noelle "/>
    <n v="10156"/>
    <s v="P010"/>
    <s v="D003"/>
    <n v="10084"/>
    <d v="2015-01-05T00:00:00"/>
    <n v="105700"/>
    <x v="1"/>
    <d v="1986-11-07T00:00:00"/>
    <s v="Married"/>
    <s v="US Citizen"/>
    <s v="Asian"/>
    <s v="MA"/>
    <n v="2301"/>
    <m/>
    <s v="N/A-Stillemployed"/>
    <s v="Active"/>
    <x v="1"/>
    <s v="Fully Meets"/>
    <n v="3.75"/>
    <n v="3"/>
    <d v="2019-02-11T00:00:00"/>
    <n v="2"/>
    <x v="6"/>
    <x v="1"/>
    <s v="Simon Roup"/>
    <n v="37"/>
    <x v="0"/>
    <n v="9.25"/>
    <s v="Neutral"/>
    <x v="1"/>
    <x v="0"/>
  </r>
  <r>
    <s v="Johnston, Yen"/>
    <n v="10036"/>
    <s v="P024"/>
    <s v="D004"/>
    <n v="10114"/>
    <d v="2014-07-07T00:00:00"/>
    <n v="63322"/>
    <x v="1"/>
    <d v="1969-09-08T00:00:00"/>
    <s v="Single"/>
    <s v="US Citizen"/>
    <s v="White"/>
    <s v="MA"/>
    <n v="2128"/>
    <m/>
    <s v="N/A-Stillemployed"/>
    <s v="Active"/>
    <x v="0"/>
    <s v="Exceeds"/>
    <n v="4.3"/>
    <n v="3"/>
    <d v="2019-01-11T00:00:00"/>
    <n v="1"/>
    <x v="2"/>
    <x v="0"/>
    <s v="Brannon Miller"/>
    <n v="54"/>
    <x v="1"/>
    <n v="9.75"/>
    <s v="Neutral"/>
    <x v="4"/>
    <x v="0"/>
  </r>
  <r>
    <s v="Jung, Judy  "/>
    <n v="10138"/>
    <s v="P023"/>
    <s v="D004"/>
    <n v="10088"/>
    <d v="2011-01-10T00:00:00"/>
    <n v="61154"/>
    <x v="1"/>
    <d v="1986-04-17T00:00:00"/>
    <s v="Married"/>
    <s v="US Citizen"/>
    <s v="Black or African American"/>
    <s v="MA"/>
    <n v="2446"/>
    <d v="2016-04-01T00:00:00"/>
    <s v="Unhappy"/>
    <s v="Voluntarily Terminated"/>
    <x v="6"/>
    <s v="Fully Meets"/>
    <n v="4"/>
    <n v="4"/>
    <d v="2016-02-03T00:00:00"/>
    <n v="4"/>
    <x v="0"/>
    <x v="0"/>
    <s v="Elijiah Gray"/>
    <n v="37"/>
    <x v="0"/>
    <n v="5.166666666666667"/>
    <s v="Satisfied"/>
    <x v="0"/>
    <x v="1"/>
  </r>
  <r>
    <s v="Kampew, Donysha"/>
    <n v="10244"/>
    <s v="P025"/>
    <s v="D005"/>
    <n v="10099"/>
    <d v="2011-11-07T00:00:00"/>
    <n v="68999"/>
    <x v="1"/>
    <d v="1989-11-11T00:00:00"/>
    <s v="Single"/>
    <s v="US Citizen"/>
    <s v="White"/>
    <s v="PA"/>
    <n v="19444"/>
    <d v="2014-04-24T00:00:00"/>
    <s v="Maternity Leave - Did Not Return"/>
    <s v="Voluntarily Terminated"/>
    <x v="2"/>
    <s v="Fully Meets"/>
    <n v="4.5"/>
    <n v="5"/>
    <d v="2013-03-30T00:00:00"/>
    <n v="2"/>
    <x v="16"/>
    <x v="4"/>
    <s v="Debra Houlihan"/>
    <n v="34"/>
    <x v="0"/>
    <n v="2.4166666666666665"/>
    <s v="Very Satisfied"/>
    <x v="0"/>
    <x v="1"/>
  </r>
  <r>
    <s v="Keatts, Kramer "/>
    <n v="10192"/>
    <s v="P023"/>
    <s v="D004"/>
    <n v="10026"/>
    <d v="2013-09-30T00:00:00"/>
    <n v="50482"/>
    <x v="0"/>
    <d v="1976-01-19T00:00:00"/>
    <s v="Single"/>
    <s v="US Citizen"/>
    <s v="White"/>
    <s v="MA"/>
    <n v="1887"/>
    <m/>
    <s v="N/A-Stillemployed"/>
    <s v="Active"/>
    <x v="1"/>
    <s v="Fully Meets"/>
    <n v="3.07"/>
    <n v="4"/>
    <d v="2019-01-23T00:00:00"/>
    <n v="10"/>
    <x v="0"/>
    <x v="0"/>
    <s v="Michael Albert"/>
    <n v="48"/>
    <x v="0"/>
    <n v="10.5"/>
    <s v="Satisfied"/>
    <x v="5"/>
    <x v="0"/>
  </r>
  <r>
    <s v="Khemmich, Bartholemew"/>
    <n v="10231"/>
    <s v="P003"/>
    <s v="D005"/>
    <n v="10200"/>
    <d v="2013-08-19T00:00:00"/>
    <n v="65310"/>
    <x v="0"/>
    <d v="1979-11-27T00:00:00"/>
    <s v="Single"/>
    <s v="US Citizen"/>
    <s v="White"/>
    <s v="CO"/>
    <n v="80820"/>
    <m/>
    <s v="N/A-Stillemployed"/>
    <s v="Active"/>
    <x v="1"/>
    <s v="Fully Meets"/>
    <n v="4.3"/>
    <n v="5"/>
    <d v="2019-01-22T00:00:00"/>
    <n v="13"/>
    <x v="11"/>
    <x v="4"/>
    <s v="Lynn Daneault"/>
    <n v="44"/>
    <x v="0"/>
    <n v="10.583333333333334"/>
    <s v="Very Satisfied"/>
    <x v="5"/>
    <x v="0"/>
  </r>
  <r>
    <s v="King, Janet"/>
    <n v="10089"/>
    <s v="P020"/>
    <s v="D002"/>
    <n v="10080"/>
    <d v="2012-07-02T00:00:00"/>
    <n v="250000"/>
    <x v="1"/>
    <d v="1954-09-21T00:00:00"/>
    <s v="Married"/>
    <s v="US Citizen"/>
    <s v="White"/>
    <s v="MA"/>
    <n v="1902"/>
    <m/>
    <s v="N/A-Stillemployed"/>
    <s v="Active"/>
    <x v="1"/>
    <s v="Fully Meets"/>
    <n v="4.83"/>
    <n v="3"/>
    <d v="2019-01-17T00:00:00"/>
    <n v="10"/>
    <x v="23"/>
    <x v="5"/>
    <s v="Board of Directors"/>
    <n v="69"/>
    <x v="2"/>
    <n v="11.75"/>
    <s v="Neutral"/>
    <x v="3"/>
    <x v="0"/>
  </r>
  <r>
    <s v="Kinsella, Kathleen  "/>
    <n v="10166"/>
    <s v="P023"/>
    <s v="D004"/>
    <n v="10069"/>
    <d v="2011-09-26T00:00:00"/>
    <n v="54005"/>
    <x v="1"/>
    <d v="1973-12-08T00:00:00"/>
    <s v="Married"/>
    <s v="US Citizen"/>
    <s v="White"/>
    <s v="MA"/>
    <n v="2170"/>
    <d v="2015-06-04T00:00:00"/>
    <s v="More Money"/>
    <s v="Voluntarily Terminated"/>
    <x v="2"/>
    <s v="Fully Meets"/>
    <n v="3.6"/>
    <n v="5"/>
    <d v="2015-03-01T00:00:00"/>
    <n v="16"/>
    <x v="0"/>
    <x v="0"/>
    <s v="Webster Butler"/>
    <n v="50"/>
    <x v="1"/>
    <n v="3.6666666666666665"/>
    <s v="Very Satisfied"/>
    <x v="0"/>
    <x v="1"/>
  </r>
  <r>
    <s v="Kirill, Alexandra  "/>
    <n v="10170"/>
    <s v="P023"/>
    <s v="D004"/>
    <n v="10002"/>
    <d v="2011-09-26T00:00:00"/>
    <n v="45433"/>
    <x v="1"/>
    <d v="1970-10-08T00:00:00"/>
    <s v="Married"/>
    <s v="US Citizen"/>
    <s v="White"/>
    <s v="MA"/>
    <n v="2127"/>
    <d v="2014-01-09T00:00:00"/>
    <s v="More Money"/>
    <s v="Voluntarily Terminated"/>
    <x v="2"/>
    <s v="Fully Meets"/>
    <n v="3.49"/>
    <n v="4"/>
    <d v="2013-01-30T00:00:00"/>
    <n v="6"/>
    <x v="0"/>
    <x v="0"/>
    <s v="Amy Dunn"/>
    <n v="53"/>
    <x v="1"/>
    <n v="2.25"/>
    <s v="Satisfied"/>
    <x v="0"/>
    <x v="1"/>
  </r>
  <r>
    <s v="Knapp, Bradley  J"/>
    <n v="10208"/>
    <s v="P023"/>
    <s v="D004"/>
    <n v="10062"/>
    <d v="2014-02-17T00:00:00"/>
    <n v="46654"/>
    <x v="0"/>
    <d v="1977-11-10T00:00:00"/>
    <s v="Single"/>
    <s v="US Citizen"/>
    <s v="Black or African American"/>
    <s v="MA"/>
    <n v="1721"/>
    <m/>
    <s v="N/A-Stillemployed"/>
    <s v="Active"/>
    <x v="0"/>
    <s v="Fully Meets"/>
    <n v="3.1"/>
    <n v="3"/>
    <d v="2019-02-06T00:00:00"/>
    <n v="3"/>
    <x v="0"/>
    <x v="0"/>
    <s v="Ketsia Liebig"/>
    <n v="46"/>
    <x v="0"/>
    <n v="10.083333333333334"/>
    <s v="Neutral"/>
    <x v="4"/>
    <x v="0"/>
  </r>
  <r>
    <s v="Kretschmer, John"/>
    <n v="10176"/>
    <s v="P023"/>
    <s v="D004"/>
    <n v="10114"/>
    <d v="2011-01-10T00:00:00"/>
    <n v="63973"/>
    <x v="0"/>
    <d v="1980-02-02T00:00:00"/>
    <s v="Married"/>
    <s v="US Citizen"/>
    <s v="Asian"/>
    <s v="MA"/>
    <n v="1801"/>
    <m/>
    <s v="N/A-Stillemployed"/>
    <s v="Active"/>
    <x v="1"/>
    <s v="Fully Meets"/>
    <n v="3.38"/>
    <n v="3"/>
    <d v="2019-01-21T00:00:00"/>
    <n v="17"/>
    <x v="0"/>
    <x v="0"/>
    <s v="Brannon Miller"/>
    <n v="44"/>
    <x v="0"/>
    <n v="13.166666666666666"/>
    <s v="Neutral"/>
    <x v="0"/>
    <x v="0"/>
  </r>
  <r>
    <s v="Kreuger, Freddy"/>
    <n v="10165"/>
    <s v="P003"/>
    <s v="D005"/>
    <n v="10188"/>
    <d v="2011-03-07T00:00:00"/>
    <n v="71339"/>
    <x v="0"/>
    <d v="1969-02-24T00:00:00"/>
    <s v="Single"/>
    <s v="US Citizen"/>
    <s v="Black or African American"/>
    <s v="NY"/>
    <n v="10171"/>
    <m/>
    <s v="N/A-Stillemployed"/>
    <s v="Active"/>
    <x v="4"/>
    <s v="Fully Meets"/>
    <n v="3.65"/>
    <n v="5"/>
    <d v="2019-01-17T00:00:00"/>
    <n v="20"/>
    <x v="11"/>
    <x v="4"/>
    <s v="John Smith"/>
    <n v="55"/>
    <x v="1"/>
    <n v="13.083333333333334"/>
    <s v="Very Satisfied"/>
    <x v="0"/>
    <x v="0"/>
  </r>
  <r>
    <s v="Lajiri,  Jyoti"/>
    <n v="10113"/>
    <s v="P032"/>
    <s v="D003"/>
    <n v="10250"/>
    <d v="2014-11-10T00:00:00"/>
    <n v="93206"/>
    <x v="0"/>
    <d v="1986-04-23T00:00:00"/>
    <s v="Married"/>
    <s v="US Citizen"/>
    <s v="White"/>
    <s v="MA"/>
    <n v="2169"/>
    <m/>
    <s v="N/A-Stillemployed"/>
    <s v="Active"/>
    <x v="3"/>
    <s v="Fully Meets"/>
    <n v="4.46"/>
    <n v="5"/>
    <d v="2019-01-07T00:00:00"/>
    <n v="7"/>
    <x v="15"/>
    <x v="1"/>
    <s v="Peter Monroe"/>
    <n v="37"/>
    <x v="0"/>
    <n v="9.3333333333333339"/>
    <s v="Very Satisfied"/>
    <x v="4"/>
    <x v="0"/>
  </r>
  <r>
    <s v="Landa, Hans"/>
    <n v="10092"/>
    <s v="P022"/>
    <s v="D004"/>
    <n v="10175"/>
    <d v="2011-01-10T00:00:00"/>
    <n v="82758"/>
    <x v="0"/>
    <d v="1972-07-01T00:00:00"/>
    <s v="Married"/>
    <s v="US Citizen"/>
    <s v="White"/>
    <s v="MA"/>
    <n v="1890"/>
    <d v="2015-12-12T00:00:00"/>
    <s v="Attendance"/>
    <s v="Terminated for Cause"/>
    <x v="3"/>
    <s v="Fully Meets"/>
    <n v="4.78"/>
    <n v="4"/>
    <d v="2015-02-15T00:00:00"/>
    <n v="9"/>
    <x v="9"/>
    <x v="0"/>
    <s v="Janet King"/>
    <n v="51"/>
    <x v="1"/>
    <n v="4.916666666666667"/>
    <s v="Satisfied"/>
    <x v="0"/>
    <x v="1"/>
  </r>
  <r>
    <s v="Langford, Lindsey"/>
    <n v="10106"/>
    <s v="P024"/>
    <s v="D004"/>
    <n v="10252"/>
    <d v="2013-01-07T00:00:00"/>
    <n v="66074"/>
    <x v="1"/>
    <d v="1979-07-25T00:00:00"/>
    <s v="Divorced"/>
    <s v="US Citizen"/>
    <s v="Asian"/>
    <s v="MA"/>
    <n v="2090"/>
    <d v="2014-03-31T00:00:00"/>
    <s v="Another Position"/>
    <s v="Voluntarily Terminated"/>
    <x v="1"/>
    <s v="Fully Meets"/>
    <n v="4.5199999999999996"/>
    <n v="3"/>
    <d v="2014-02-20T00:00:00"/>
    <n v="20"/>
    <x v="2"/>
    <x v="0"/>
    <s v="David Stanley"/>
    <n v="44"/>
    <x v="0"/>
    <n v="1.1666666666666667"/>
    <s v="Neutral"/>
    <x v="5"/>
    <x v="1"/>
  </r>
  <r>
    <s v="Langton, Enrico"/>
    <n v="10052"/>
    <s v="P023"/>
    <s v="D004"/>
    <n v="10252"/>
    <d v="2012-07-09T00:00:00"/>
    <n v="46120"/>
    <x v="0"/>
    <d v="1986-12-09T00:00:00"/>
    <s v="Married"/>
    <s v="US Citizen"/>
    <s v="White"/>
    <s v="MA"/>
    <n v="2048"/>
    <m/>
    <s v="N/A-Stillemployed"/>
    <s v="Active"/>
    <x v="0"/>
    <s v="Fully Meets"/>
    <n v="5"/>
    <n v="5"/>
    <d v="2019-02-04T00:00:00"/>
    <n v="13"/>
    <x v="0"/>
    <x v="0"/>
    <s v="David Stanley"/>
    <n v="37"/>
    <x v="0"/>
    <n v="11.75"/>
    <s v="Very Satisfied"/>
    <x v="3"/>
    <x v="0"/>
  </r>
  <r>
    <s v="LaRotonda, William  "/>
    <n v="10038"/>
    <s v="P001"/>
    <s v="D001"/>
    <n v="10081"/>
    <d v="2014-01-06T00:00:00"/>
    <n v="64520"/>
    <x v="0"/>
    <d v="1984-04-26T00:00:00"/>
    <s v="Divorced"/>
    <s v="US Citizen"/>
    <s v="Black or African American"/>
    <s v="MA"/>
    <n v="1460"/>
    <m/>
    <s v="N/A-Stillemployed"/>
    <s v="Active"/>
    <x v="7"/>
    <s v="Fully Meets"/>
    <n v="5"/>
    <n v="4"/>
    <d v="2019-01-17T00:00:00"/>
    <n v="3"/>
    <x v="10"/>
    <x v="3"/>
    <s v="Brandon R. LeBlanc"/>
    <n v="39"/>
    <x v="0"/>
    <n v="10.25"/>
    <s v="Satisfied"/>
    <x v="4"/>
    <x v="0"/>
  </r>
  <r>
    <s v="Latif, Mohammed"/>
    <n v="10249"/>
    <s v="P024"/>
    <s v="D004"/>
    <n v="10196"/>
    <d v="2012-04-02T00:00:00"/>
    <n v="61962"/>
    <x v="0"/>
    <d v="1984-05-09T00:00:00"/>
    <s v="Married"/>
    <s v="US Citizen"/>
    <s v="White"/>
    <s v="MA"/>
    <n v="2126"/>
    <d v="2013-04-15T00:00:00"/>
    <s v="More Money"/>
    <s v="Voluntarily Terminated"/>
    <x v="2"/>
    <s v="Fully Meets"/>
    <n v="4.9000000000000004"/>
    <n v="3"/>
    <d v="2013-02-20T00:00:00"/>
    <n v="20"/>
    <x v="2"/>
    <x v="0"/>
    <s v="Kissy Sullivan"/>
    <n v="39"/>
    <x v="0"/>
    <n v="1"/>
    <s v="Neutral"/>
    <x v="3"/>
    <x v="1"/>
  </r>
  <r>
    <s v="Le, Binh"/>
    <n v="10232"/>
    <s v="P026"/>
    <s v="D003"/>
    <n v="10197"/>
    <d v="2016-10-02T00:00:00"/>
    <n v="81584"/>
    <x v="1"/>
    <d v="1987-06-14T00:00:00"/>
    <s v="Single"/>
    <s v="US Citizen"/>
    <s v="Asian"/>
    <s v="MA"/>
    <n v="1886"/>
    <m/>
    <s v="N/A-Stillemployed"/>
    <s v="Active"/>
    <x v="1"/>
    <s v="Fully Meets"/>
    <n v="4.0999999999999996"/>
    <n v="5"/>
    <d v="2019-01-08T00:00:00"/>
    <n v="2"/>
    <x v="24"/>
    <x v="1"/>
    <s v="Brian Champaigne"/>
    <n v="36"/>
    <x v="0"/>
    <n v="7.5"/>
    <s v="Very Satisfied"/>
    <x v="7"/>
    <x v="0"/>
  </r>
  <r>
    <s v="Leach, Dallas"/>
    <n v="10087"/>
    <s v="P023"/>
    <s v="D004"/>
    <n v="10196"/>
    <d v="2011-09-26T00:00:00"/>
    <n v="63676"/>
    <x v="1"/>
    <d v="1979-01-17T00:00:00"/>
    <s v="Single"/>
    <s v="US Citizen"/>
    <s v="Asian"/>
    <s v="MA"/>
    <n v="1810"/>
    <d v="2018-08-19T00:00:00"/>
    <s v="Return To School"/>
    <s v="Voluntarily Terminated"/>
    <x v="6"/>
    <s v="Fully Meets"/>
    <n v="4.88"/>
    <n v="3"/>
    <d v="2017-07-02T00:00:00"/>
    <n v="17"/>
    <x v="0"/>
    <x v="0"/>
    <s v="Kissy Sullivan"/>
    <n v="45"/>
    <x v="0"/>
    <n v="6.833333333333333"/>
    <s v="Neutral"/>
    <x v="0"/>
    <x v="1"/>
  </r>
  <r>
    <s v="LeBlanc, Brandon  R"/>
    <n v="10134"/>
    <s v="P027"/>
    <s v="D001"/>
    <n v="10175"/>
    <d v="2016-01-05T00:00:00"/>
    <n v="93046"/>
    <x v="0"/>
    <d v="1984-06-10T00:00:00"/>
    <s v="Married"/>
    <s v="US Citizen"/>
    <s v="White"/>
    <s v="MA"/>
    <n v="1460"/>
    <m/>
    <s v="N/A-Stillemployed"/>
    <s v="Active"/>
    <x v="6"/>
    <s v="Fully Meets"/>
    <n v="4.0999999999999996"/>
    <n v="4"/>
    <d v="2019-01-28T00:00:00"/>
    <n v="20"/>
    <x v="25"/>
    <x v="3"/>
    <s v="Janet King"/>
    <n v="39"/>
    <x v="0"/>
    <n v="8.25"/>
    <s v="Satisfied"/>
    <x v="7"/>
    <x v="0"/>
  </r>
  <r>
    <s v="Lecter, Hannibal"/>
    <n v="10251"/>
    <s v="P023"/>
    <s v="D004"/>
    <n v="10088"/>
    <d v="2012-05-14T00:00:00"/>
    <n v="64738"/>
    <x v="0"/>
    <d v="1982-09-02T00:00:00"/>
    <s v="Married"/>
    <s v="US Citizen"/>
    <s v="Asian"/>
    <s v="MA"/>
    <n v="1776"/>
    <m/>
    <s v="N/A-Stillemployed"/>
    <s v="Active"/>
    <x v="2"/>
    <s v="Fully Meets"/>
    <n v="4.0999999999999996"/>
    <n v="3"/>
    <d v="2019-02-22T00:00:00"/>
    <n v="10"/>
    <x v="0"/>
    <x v="0"/>
    <s v="Elijiah Gray"/>
    <n v="41"/>
    <x v="0"/>
    <n v="11.833333333333334"/>
    <s v="Neutral"/>
    <x v="3"/>
    <x v="0"/>
  </r>
  <r>
    <s v="Leruth, Giovanni"/>
    <n v="10103"/>
    <s v="P003"/>
    <s v="D005"/>
    <n v="10188"/>
    <d v="2012-04-30T00:00:00"/>
    <n v="70468"/>
    <x v="0"/>
    <d v="1988-12-27T00:00:00"/>
    <s v="Separated"/>
    <s v="US Citizen"/>
    <s v="Black or African American"/>
    <s v="UT"/>
    <n v="84111"/>
    <m/>
    <s v="N/A-Stillemployed"/>
    <s v="Active"/>
    <x v="7"/>
    <s v="Fully Meets"/>
    <n v="4.53"/>
    <n v="3"/>
    <d v="2019-01-29T00:00:00"/>
    <n v="16"/>
    <x v="11"/>
    <x v="4"/>
    <s v="John Smith"/>
    <n v="35"/>
    <x v="0"/>
    <n v="11.916666666666666"/>
    <s v="Neutral"/>
    <x v="3"/>
    <x v="0"/>
  </r>
  <r>
    <s v="Liebig, Ketsia"/>
    <n v="10017"/>
    <s v="P022"/>
    <s v="D004"/>
    <n v="10175"/>
    <d v="2013-09-30T00:00:00"/>
    <n v="77915"/>
    <x v="1"/>
    <d v="1981-10-26T00:00:00"/>
    <s v="Married"/>
    <s v="US Citizen"/>
    <s v="White"/>
    <s v="MA"/>
    <n v="2110"/>
    <m/>
    <s v="N/A-Stillemployed"/>
    <s v="Active"/>
    <x v="7"/>
    <s v="Exceeds"/>
    <n v="4.0999999999999996"/>
    <n v="3"/>
    <d v="2019-01-21T00:00:00"/>
    <n v="11"/>
    <x v="9"/>
    <x v="0"/>
    <s v="Janet King"/>
    <n v="42"/>
    <x v="0"/>
    <n v="10.5"/>
    <s v="Neutral"/>
    <x v="5"/>
    <x v="0"/>
  </r>
  <r>
    <s v="Linares, Marilyn "/>
    <n v="10186"/>
    <s v="P023"/>
    <s v="D004"/>
    <n v="10026"/>
    <d v="2011-07-05T00:00:00"/>
    <n v="52624"/>
    <x v="1"/>
    <d v="1981-03-26T00:00:00"/>
    <s v="Married"/>
    <s v="US Citizen"/>
    <s v="White"/>
    <s v="MA"/>
    <n v="1886"/>
    <d v="2018-09-26T00:00:00"/>
    <s v="Unhappy"/>
    <s v="Voluntarily Terminated"/>
    <x v="1"/>
    <s v="Fully Meets"/>
    <n v="3.18"/>
    <n v="4"/>
    <d v="2018-03-02T00:00:00"/>
    <n v="16"/>
    <x v="0"/>
    <x v="0"/>
    <s v="Michael Albert"/>
    <n v="43"/>
    <x v="0"/>
    <n v="7.166666666666667"/>
    <s v="Satisfied"/>
    <x v="0"/>
    <x v="1"/>
  </r>
  <r>
    <s v="Linden, Mathew"/>
    <n v="10137"/>
    <s v="P024"/>
    <s v="D004"/>
    <n v="10265"/>
    <d v="2013-07-08T00:00:00"/>
    <n v="63450"/>
    <x v="0"/>
    <d v="1979-03-19T00:00:00"/>
    <s v="Married"/>
    <s v="US Citizen"/>
    <s v="White"/>
    <s v="MA"/>
    <n v="1770"/>
    <m/>
    <s v="N/A-Stillemployed"/>
    <s v="Active"/>
    <x v="0"/>
    <s v="Fully Meets"/>
    <n v="4"/>
    <n v="3"/>
    <d v="2019-02-18T00:00:00"/>
    <n v="7"/>
    <x v="2"/>
    <x v="0"/>
    <s v="Kelley Spirea"/>
    <n v="45"/>
    <x v="0"/>
    <n v="10.75"/>
    <s v="Neutral"/>
    <x v="5"/>
    <x v="0"/>
  </r>
  <r>
    <s v="Lindsay, Leonara "/>
    <n v="10008"/>
    <s v="P018"/>
    <s v="D003"/>
    <n v="10220"/>
    <d v="2011-01-21T00:00:00"/>
    <n v="51777"/>
    <x v="1"/>
    <d v="1988-10-05T00:00:00"/>
    <s v="Single"/>
    <s v="US Citizen"/>
    <s v="Black or African American"/>
    <s v="CT"/>
    <n v="6070"/>
    <m/>
    <s v="N/A-Stillemployed"/>
    <s v="Active"/>
    <x v="4"/>
    <s v="Exceeds"/>
    <n v="4.6399999999999997"/>
    <n v="4"/>
    <d v="2019-01-25T00:00:00"/>
    <n v="14"/>
    <x v="4"/>
    <x v="1"/>
    <s v="Eric Dougall"/>
    <n v="35"/>
    <x v="0"/>
    <n v="13.166666666666666"/>
    <s v="Satisfied"/>
    <x v="0"/>
    <x v="0"/>
  </r>
  <r>
    <s v="Lundy, Susan"/>
    <n v="10096"/>
    <s v="P024"/>
    <s v="D004"/>
    <n v="10026"/>
    <d v="2013-07-08T00:00:00"/>
    <n v="67237"/>
    <x v="1"/>
    <d v="1976-12-26T00:00:00"/>
    <s v="Widowed"/>
    <s v="US Citizen"/>
    <s v="White"/>
    <s v="MA"/>
    <n v="2122"/>
    <d v="2016-09-15T00:00:00"/>
    <s v="More Money"/>
    <s v="Voluntarily Terminated"/>
    <x v="0"/>
    <s v="Fully Meets"/>
    <n v="4.6500000000000004"/>
    <n v="4"/>
    <d v="2016-06-10T00:00:00"/>
    <n v="15"/>
    <x v="2"/>
    <x v="0"/>
    <s v="Michael Albert"/>
    <n v="47"/>
    <x v="0"/>
    <n v="3.1666666666666665"/>
    <s v="Satisfied"/>
    <x v="5"/>
    <x v="1"/>
  </r>
  <r>
    <s v="Lunquist, Lisa"/>
    <n v="10035"/>
    <s v="P024"/>
    <s v="D004"/>
    <n v="10088"/>
    <d v="2013-08-19T00:00:00"/>
    <n v="73330"/>
    <x v="1"/>
    <d v="1982-03-28T00:00:00"/>
    <s v="Single"/>
    <s v="US Citizen"/>
    <s v="Black or African American"/>
    <s v="MA"/>
    <n v="2324"/>
    <m/>
    <s v="N/A-Stillemployed"/>
    <s v="Active"/>
    <x v="1"/>
    <s v="Exceeds"/>
    <n v="4.2"/>
    <n v="4"/>
    <d v="2019-02-12T00:00:00"/>
    <n v="19"/>
    <x v="2"/>
    <x v="0"/>
    <s v="Elijiah Gray"/>
    <n v="42"/>
    <x v="0"/>
    <n v="10.583333333333334"/>
    <s v="Satisfied"/>
    <x v="5"/>
    <x v="0"/>
  </r>
  <r>
    <s v="Lydon, Allison"/>
    <n v="10057"/>
    <s v="P023"/>
    <s v="D004"/>
    <n v="10088"/>
    <d v="2015-02-16T00:00:00"/>
    <n v="52057"/>
    <x v="1"/>
    <d v="1975-10-22T00:00:00"/>
    <s v="Married"/>
    <s v="US Citizen"/>
    <s v="Black or African American"/>
    <s v="MA"/>
    <n v="2122"/>
    <m/>
    <s v="N/A-Stillemployed"/>
    <s v="Active"/>
    <x v="7"/>
    <s v="Fully Meets"/>
    <n v="5"/>
    <n v="3"/>
    <d v="2019-01-23T00:00:00"/>
    <n v="6"/>
    <x v="0"/>
    <x v="0"/>
    <s v="Elijiah Gray"/>
    <n v="48"/>
    <x v="0"/>
    <n v="9.0833333333333339"/>
    <s v="Neutral"/>
    <x v="1"/>
    <x v="0"/>
  </r>
  <r>
    <s v="Lynch, Lindsay"/>
    <n v="10004"/>
    <s v="P023"/>
    <s v="D004"/>
    <n v="10069"/>
    <d v="2011-11-07T00:00:00"/>
    <n v="47434"/>
    <x v="1"/>
    <d v="1973-02-14T00:00:00"/>
    <s v="Single"/>
    <s v="US Citizen"/>
    <s v="Black or African American"/>
    <s v="MA"/>
    <n v="1844"/>
    <d v="2015-11-14T00:00:00"/>
    <s v="Another Position"/>
    <s v="Voluntarily Terminated"/>
    <x v="4"/>
    <s v="Exceeds"/>
    <n v="5"/>
    <n v="4"/>
    <d v="2015-02-02T00:00:00"/>
    <n v="17"/>
    <x v="0"/>
    <x v="0"/>
    <s v="Webster Butler"/>
    <n v="51"/>
    <x v="1"/>
    <n v="4"/>
    <s v="Satisfied"/>
    <x v="0"/>
    <x v="1"/>
  </r>
  <r>
    <s v="MacLennan, Samuel"/>
    <n v="10191"/>
    <s v="P023"/>
    <s v="D004"/>
    <n v="10002"/>
    <d v="2012-09-24T00:00:00"/>
    <n v="52788"/>
    <x v="0"/>
    <d v="1972-11-09T00:00:00"/>
    <s v="Widowed"/>
    <s v="US Citizen"/>
    <s v="White"/>
    <s v="MA"/>
    <n v="1938"/>
    <d v="2017-09-26T00:00:00"/>
    <s v="Hours"/>
    <s v="Voluntarily Terminated"/>
    <x v="1"/>
    <s v="Fully Meets"/>
    <n v="3.08"/>
    <n v="4"/>
    <d v="2017-04-01T00:00:00"/>
    <n v="18"/>
    <x v="0"/>
    <x v="0"/>
    <s v="Amy Dunn"/>
    <n v="51"/>
    <x v="1"/>
    <n v="5"/>
    <s v="Satisfied"/>
    <x v="3"/>
    <x v="1"/>
  </r>
  <r>
    <s v="Mahoney, Lauren  "/>
    <n v="10219"/>
    <s v="P023"/>
    <s v="D004"/>
    <n v="10062"/>
    <d v="2014-01-06T00:00:00"/>
    <n v="45395"/>
    <x v="1"/>
    <d v="1986-07-07T00:00:00"/>
    <s v="Single"/>
    <s v="US Citizen"/>
    <s v="White"/>
    <s v="MA"/>
    <n v="2189"/>
    <m/>
    <s v="N/A-Stillemployed"/>
    <s v="Active"/>
    <x v="0"/>
    <s v="Fully Meets"/>
    <n v="4.5999999999999996"/>
    <n v="4"/>
    <d v="2019-02-26T00:00:00"/>
    <n v="14"/>
    <x v="0"/>
    <x v="0"/>
    <s v="Ketsia Liebig"/>
    <n v="37"/>
    <x v="0"/>
    <n v="10.25"/>
    <s v="Satisfied"/>
    <x v="4"/>
    <x v="0"/>
  </r>
  <r>
    <s v="Manchester, Robyn"/>
    <n v="10077"/>
    <s v="P024"/>
    <s v="D004"/>
    <n v="10069"/>
    <d v="2016-05-11T00:00:00"/>
    <n v="62385"/>
    <x v="1"/>
    <d v="1976-08-25T00:00:00"/>
    <s v="Married"/>
    <s v="US Citizen"/>
    <s v="White"/>
    <s v="MA"/>
    <n v="2324"/>
    <m/>
    <s v="N/A-Stillemployed"/>
    <s v="Active"/>
    <x v="0"/>
    <s v="Fully Meets"/>
    <n v="5"/>
    <n v="3"/>
    <d v="2019-01-21T00:00:00"/>
    <n v="4"/>
    <x v="2"/>
    <x v="0"/>
    <s v="Webster Butler"/>
    <n v="47"/>
    <x v="0"/>
    <n v="7.833333333333333"/>
    <s v="Neutral"/>
    <x v="7"/>
    <x v="0"/>
  </r>
  <r>
    <s v="Mancuso, Karen"/>
    <n v="10073"/>
    <s v="P024"/>
    <s v="D004"/>
    <n v="10002"/>
    <d v="2011-07-05T00:00:00"/>
    <n v="68407"/>
    <x v="1"/>
    <d v="1986-12-10T00:00:00"/>
    <s v="Married"/>
    <s v="US Citizen"/>
    <s v="Two or more races"/>
    <s v="MA"/>
    <n v="2176"/>
    <d v="2012-08-19T00:00:00"/>
    <s v="Another Position"/>
    <s v="Voluntarily Terminated"/>
    <x v="0"/>
    <s v="Fully Meets"/>
    <n v="5"/>
    <n v="4"/>
    <d v="2012-07-02T00:00:00"/>
    <n v="16"/>
    <x v="2"/>
    <x v="0"/>
    <s v="Amy Dunn"/>
    <n v="37"/>
    <x v="0"/>
    <n v="1.0833333333333333"/>
    <s v="Satisfied"/>
    <x v="0"/>
    <x v="1"/>
  </r>
  <r>
    <s v="Mangal, Debbie"/>
    <n v="10279"/>
    <s v="P023"/>
    <s v="D004"/>
    <n v="10114"/>
    <d v="2013-11-11T00:00:00"/>
    <n v="61349"/>
    <x v="1"/>
    <d v="1974-11-07T00:00:00"/>
    <s v="Married"/>
    <s v="US Citizen"/>
    <s v="White"/>
    <s v="MA"/>
    <n v="2451"/>
    <m/>
    <s v="N/A-Stillemployed"/>
    <s v="Active"/>
    <x v="0"/>
    <s v="Fully Meets"/>
    <n v="4.0999999999999996"/>
    <n v="3"/>
    <d v="2019-01-22T00:00:00"/>
    <n v="11"/>
    <x v="0"/>
    <x v="0"/>
    <s v="Brannon Miller"/>
    <n v="49"/>
    <x v="0"/>
    <n v="10.333333333333334"/>
    <s v="Neutral"/>
    <x v="5"/>
    <x v="0"/>
  </r>
  <r>
    <s v="Martin, Sandra"/>
    <n v="10110"/>
    <s v="P028"/>
    <s v="D006"/>
    <n v="10194"/>
    <d v="2013-11-11T00:00:00"/>
    <n v="105688"/>
    <x v="1"/>
    <d v="1987-11-07T00:00:00"/>
    <s v="Single"/>
    <s v="US Citizen"/>
    <s v="Asian"/>
    <s v="MA"/>
    <n v="2135"/>
    <m/>
    <s v="N/A-Stillemployed"/>
    <s v="Active"/>
    <x v="2"/>
    <s v="Fully Meets"/>
    <n v="4.5"/>
    <n v="5"/>
    <d v="2019-01-14T00:00:00"/>
    <n v="14"/>
    <x v="3"/>
    <x v="2"/>
    <s v="Alex Sweetwater"/>
    <n v="36"/>
    <x v="0"/>
    <n v="10.333333333333334"/>
    <s v="Very Satisfied"/>
    <x v="5"/>
    <x v="0"/>
  </r>
  <r>
    <s v="Maurice, Shana"/>
    <n v="10053"/>
    <s v="P023"/>
    <s v="D004"/>
    <n v="10252"/>
    <d v="2011-05-31T00:00:00"/>
    <n v="54132"/>
    <x v="1"/>
    <d v="1977-11-22T00:00:00"/>
    <s v="Married"/>
    <s v="US Citizen"/>
    <s v="White"/>
    <s v="MA"/>
    <n v="2330"/>
    <m/>
    <s v="N/A-Stillemployed"/>
    <s v="Active"/>
    <x v="1"/>
    <s v="Fully Meets"/>
    <n v="5"/>
    <n v="4"/>
    <d v="2019-01-10T00:00:00"/>
    <n v="8"/>
    <x v="0"/>
    <x v="0"/>
    <s v="David Stanley"/>
    <n v="46"/>
    <x v="0"/>
    <n v="12.833333333333334"/>
    <s v="Satisfied"/>
    <x v="0"/>
    <x v="0"/>
  </r>
  <r>
    <s v="Carthy, B'rigit"/>
    <n v="10076"/>
    <s v="P024"/>
    <s v="D004"/>
    <n v="10062"/>
    <d v="2015-03-30T00:00:00"/>
    <n v="55315"/>
    <x v="1"/>
    <d v="1987-05-21T00:00:00"/>
    <s v="Single"/>
    <s v="US Citizen"/>
    <s v="Black or African American"/>
    <s v="MA"/>
    <n v="2149"/>
    <m/>
    <s v="N/A-Stillemployed"/>
    <s v="Active"/>
    <x v="0"/>
    <s v="Fully Meets"/>
    <n v="5"/>
    <n v="5"/>
    <d v="2019-02-07T00:00:00"/>
    <n v="16"/>
    <x v="2"/>
    <x v="0"/>
    <s v="Ketsia Liebig"/>
    <n v="36"/>
    <x v="0"/>
    <n v="9"/>
    <s v="Very Satisfied"/>
    <x v="1"/>
    <x v="0"/>
  </r>
  <r>
    <s v="Mckenna, Sandy"/>
    <n v="10145"/>
    <s v="P023"/>
    <s v="D004"/>
    <n v="10196"/>
    <d v="2013-01-07T00:00:00"/>
    <n v="62810"/>
    <x v="1"/>
    <d v="1987-01-07T00:00:00"/>
    <s v="Married"/>
    <s v="US Citizen"/>
    <s v="Black or African American"/>
    <s v="MA"/>
    <n v="2184"/>
    <m/>
    <s v="N/A-Stillemployed"/>
    <s v="Active"/>
    <x v="6"/>
    <s v="Fully Meets"/>
    <n v="3.93"/>
    <n v="3"/>
    <d v="2019-01-30T00:00:00"/>
    <n v="20"/>
    <x v="0"/>
    <x v="0"/>
    <s v="Kissy Sullivan"/>
    <n v="37"/>
    <x v="0"/>
    <n v="11.25"/>
    <s v="Neutral"/>
    <x v="5"/>
    <x v="0"/>
  </r>
  <r>
    <s v="McKinzie, Jac"/>
    <n v="10202"/>
    <s v="P003"/>
    <s v="D005"/>
    <n v="10200"/>
    <d v="2016-07-06T00:00:00"/>
    <n v="63291"/>
    <x v="0"/>
    <d v="1984-07-01T00:00:00"/>
    <s v="Married"/>
    <s v="US Citizen"/>
    <s v="Two or more races"/>
    <s v="TX"/>
    <n v="78789"/>
    <m/>
    <s v="N/A-Stillemployed"/>
    <s v="Active"/>
    <x v="7"/>
    <s v="Fully Meets"/>
    <n v="3.4"/>
    <n v="4"/>
    <d v="2019-01-29T00:00:00"/>
    <n v="7"/>
    <x v="11"/>
    <x v="4"/>
    <s v="Lynn Daneault"/>
    <n v="39"/>
    <x v="0"/>
    <n v="7.75"/>
    <s v="Satisfied"/>
    <x v="7"/>
    <x v="0"/>
  </r>
  <r>
    <s v="Meads, Elizabeth"/>
    <n v="10128"/>
    <s v="P023"/>
    <s v="D004"/>
    <n v="10265"/>
    <d v="2012-04-02T00:00:00"/>
    <n v="62659"/>
    <x v="1"/>
    <d v="1968-05-30T00:00:00"/>
    <s v="Single"/>
    <s v="US Citizen"/>
    <s v="Black or African American"/>
    <s v="MA"/>
    <n v="1760"/>
    <d v="2016-11-11T00:00:00"/>
    <s v="Another Position"/>
    <s v="Voluntarily Terminated"/>
    <x v="4"/>
    <s v="Fully Meets"/>
    <n v="4.18"/>
    <n v="4"/>
    <d v="2016-02-05T00:00:00"/>
    <n v="17"/>
    <x v="0"/>
    <x v="0"/>
    <s v="Kelley Spirea"/>
    <n v="55"/>
    <x v="1"/>
    <n v="4.583333333333333"/>
    <s v="Satisfied"/>
    <x v="3"/>
    <x v="1"/>
  </r>
  <r>
    <s v="Medeiros, Jennifer"/>
    <n v="10068"/>
    <s v="P023"/>
    <s v="D004"/>
    <n v="10026"/>
    <d v="2015-03-30T00:00:00"/>
    <n v="55688"/>
    <x v="1"/>
    <d v="1976-09-22T00:00:00"/>
    <s v="Single"/>
    <s v="US Citizen"/>
    <s v="White"/>
    <s v="MA"/>
    <n v="2346"/>
    <m/>
    <s v="N/A-Stillemployed"/>
    <s v="Active"/>
    <x v="6"/>
    <s v="Fully Meets"/>
    <n v="5"/>
    <n v="4"/>
    <d v="2019-01-21T00:00:00"/>
    <n v="10"/>
    <x v="0"/>
    <x v="0"/>
    <s v="Michael Albert"/>
    <n v="47"/>
    <x v="0"/>
    <n v="9"/>
    <s v="Satisfied"/>
    <x v="1"/>
    <x v="0"/>
  </r>
  <r>
    <s v="Miller, Brannon"/>
    <n v="10116"/>
    <s v="P022"/>
    <s v="D004"/>
    <n v="10175"/>
    <d v="2012-08-16T00:00:00"/>
    <n v="83667"/>
    <x v="0"/>
    <d v="1981-08-10T00:00:00"/>
    <s v="Single"/>
    <s v="US Citizen"/>
    <s v="Hispanic"/>
    <s v="MA"/>
    <n v="2045"/>
    <m/>
    <s v="N/A-Stillemployed"/>
    <s v="Active"/>
    <x v="1"/>
    <s v="Fully Meets"/>
    <n v="4.37"/>
    <n v="3"/>
    <d v="2019-01-14T00:00:00"/>
    <n v="2"/>
    <x v="9"/>
    <x v="0"/>
    <s v="Janet King"/>
    <n v="42"/>
    <x v="0"/>
    <n v="11.583333333333334"/>
    <s v="Neutral"/>
    <x v="3"/>
    <x v="0"/>
  </r>
  <r>
    <s v="Miller, Ned"/>
    <n v="10298"/>
    <s v="P024"/>
    <s v="D004"/>
    <n v="10114"/>
    <d v="2011-08-15T00:00:00"/>
    <n v="55800"/>
    <x v="0"/>
    <d v="1985-06-29T00:00:00"/>
    <s v="Single"/>
    <s v="US Citizen"/>
    <s v="White"/>
    <s v="MA"/>
    <n v="2472"/>
    <d v="2014-09-04T00:00:00"/>
    <s v="Unhappy"/>
    <s v="Voluntarily Terminated"/>
    <x v="0"/>
    <s v="PIP"/>
    <n v="3"/>
    <n v="2"/>
    <d v="2013-01-14T00:00:00"/>
    <n v="6"/>
    <x v="2"/>
    <x v="0"/>
    <s v="Brannon Miller"/>
    <n v="38"/>
    <x v="0"/>
    <n v="3"/>
    <s v="Dissatisfied"/>
    <x v="0"/>
    <x v="1"/>
  </r>
  <r>
    <s v="Monkfish, Erasumus"/>
    <n v="10213"/>
    <s v="P024"/>
    <s v="D004"/>
    <n v="10252"/>
    <d v="2011-11-07T00:00:00"/>
    <n v="58207"/>
    <x v="0"/>
    <d v="1992-08-17T00:00:00"/>
    <s v="Married"/>
    <s v="US Citizen"/>
    <s v="White"/>
    <s v="MA"/>
    <n v="1450"/>
    <m/>
    <s v="N/A-Stillemployed"/>
    <s v="Active"/>
    <x v="0"/>
    <s v="Fully Meets"/>
    <n v="3.7"/>
    <n v="3"/>
    <d v="2019-01-08T00:00:00"/>
    <n v="14"/>
    <x v="2"/>
    <x v="0"/>
    <s v="David Stanley"/>
    <n v="31"/>
    <x v="0"/>
    <n v="12.416666666666666"/>
    <s v="Neutral"/>
    <x v="0"/>
    <x v="0"/>
  </r>
  <r>
    <s v="Monroe, Peter"/>
    <n v="10288"/>
    <s v="P016"/>
    <s v="D003"/>
    <n v="10150"/>
    <d v="2012-02-15T00:00:00"/>
    <n v="157000"/>
    <x v="0"/>
    <d v="1986-10-05T00:00:00"/>
    <s v="Married"/>
    <s v="Eligible NonCitizen"/>
    <s v="Black or African American"/>
    <s v="MA"/>
    <n v="2134"/>
    <m/>
    <s v="N/A-Stillemployed"/>
    <s v="Active"/>
    <x v="4"/>
    <s v="Needs Improvement"/>
    <n v="2.39"/>
    <n v="3"/>
    <d v="2019-02-22T00:00:00"/>
    <n v="13"/>
    <x v="26"/>
    <x v="1"/>
    <s v="Jennifer Zamora"/>
    <n v="37"/>
    <x v="0"/>
    <n v="12.083333333333334"/>
    <s v="Neutral"/>
    <x v="3"/>
    <x v="0"/>
  </r>
  <r>
    <s v="Monterro, Luisa"/>
    <n v="10025"/>
    <s v="P024"/>
    <s v="D004"/>
    <n v="10196"/>
    <d v="2013-05-13T00:00:00"/>
    <n v="72460"/>
    <x v="1"/>
    <d v="1970-04-24T00:00:00"/>
    <s v="Single"/>
    <s v="US Citizen"/>
    <s v="Black or African American"/>
    <s v="MA"/>
    <n v="2126"/>
    <m/>
    <s v="N/A-Stillemployed"/>
    <s v="Active"/>
    <x v="1"/>
    <s v="Exceeds"/>
    <n v="4.7"/>
    <n v="3"/>
    <d v="2019-01-14T00:00:00"/>
    <n v="1"/>
    <x v="2"/>
    <x v="0"/>
    <s v="Kissy Sullivan"/>
    <n v="53"/>
    <x v="1"/>
    <n v="10.833333333333334"/>
    <s v="Neutral"/>
    <x v="5"/>
    <x v="0"/>
  </r>
  <r>
    <s v="Moran, Patrick"/>
    <n v="10223"/>
    <s v="P024"/>
    <s v="D004"/>
    <n v="10265"/>
    <d v="2012-01-09T00:00:00"/>
    <n v="72106"/>
    <x v="0"/>
    <d v="1976-12-03T00:00:00"/>
    <s v="Single"/>
    <s v="US Citizen"/>
    <s v="Black or African American"/>
    <s v="MA"/>
    <n v="2127"/>
    <m/>
    <s v="N/A-Stillemployed"/>
    <s v="Active"/>
    <x v="4"/>
    <s v="Fully Meets"/>
    <n v="4.0999999999999996"/>
    <n v="4"/>
    <d v="2019-01-31T00:00:00"/>
    <n v="12"/>
    <x v="2"/>
    <x v="0"/>
    <s v="Kelley Spirea"/>
    <n v="47"/>
    <x v="0"/>
    <n v="12.25"/>
    <s v="Satisfied"/>
    <x v="3"/>
    <x v="0"/>
  </r>
  <r>
    <s v="Morway, Tanya"/>
    <n v="10151"/>
    <s v="P019"/>
    <s v="D003"/>
    <n v="10250"/>
    <d v="2015-02-16T00:00:00"/>
    <n v="52599"/>
    <x v="1"/>
    <d v="1979-04-04T00:00:00"/>
    <s v="Married"/>
    <s v="US Citizen"/>
    <s v="White"/>
    <s v="MA"/>
    <n v="2048"/>
    <m/>
    <s v="N/A-Stillemployed"/>
    <s v="Active"/>
    <x v="6"/>
    <s v="Fully Meets"/>
    <n v="3.81"/>
    <n v="3"/>
    <d v="2019-02-11T00:00:00"/>
    <n v="6"/>
    <x v="19"/>
    <x v="1"/>
    <s v="Peter Monroe"/>
    <n v="45"/>
    <x v="0"/>
    <n v="9.0833333333333339"/>
    <s v="Neutral"/>
    <x v="1"/>
    <x v="0"/>
  </r>
  <r>
    <s v="Motlagh,  Dawn"/>
    <n v="10254"/>
    <s v="P023"/>
    <s v="D004"/>
    <n v="10088"/>
    <d v="2013-04-01T00:00:00"/>
    <n v="63430"/>
    <x v="1"/>
    <d v="1984-07-07T00:00:00"/>
    <s v="Divorced"/>
    <s v="US Citizen"/>
    <s v="White"/>
    <s v="MA"/>
    <n v="2453"/>
    <m/>
    <s v="N/A-Stillemployed"/>
    <s v="Active"/>
    <x v="0"/>
    <s v="Fully Meets"/>
    <n v="4.4000000000000004"/>
    <n v="4"/>
    <d v="2019-01-17T00:00:00"/>
    <n v="18"/>
    <x v="0"/>
    <x v="0"/>
    <s v="Elijiah Gray"/>
    <n v="39"/>
    <x v="0"/>
    <n v="11"/>
    <s v="Satisfied"/>
    <x v="5"/>
    <x v="0"/>
  </r>
  <r>
    <s v="Moumanil, Maliki "/>
    <n v="10120"/>
    <s v="P024"/>
    <s v="D004"/>
    <n v="10026"/>
    <d v="2013-05-13T00:00:00"/>
    <n v="74417"/>
    <x v="0"/>
    <d v="1974-12-01T00:00:00"/>
    <s v="Separated"/>
    <s v="US Citizen"/>
    <s v="Black or African American"/>
    <s v="MA"/>
    <n v="1460"/>
    <m/>
    <s v="N/A-Stillemployed"/>
    <s v="Active"/>
    <x v="0"/>
    <s v="Fully Meets"/>
    <n v="4.29"/>
    <n v="5"/>
    <d v="2019-01-28T00:00:00"/>
    <n v="11"/>
    <x v="2"/>
    <x v="0"/>
    <s v="Michael Albert"/>
    <n v="49"/>
    <x v="0"/>
    <n v="10.833333333333334"/>
    <s v="Very Satisfied"/>
    <x v="5"/>
    <x v="0"/>
  </r>
  <r>
    <s v="Myers, Michael"/>
    <n v="10216"/>
    <s v="P023"/>
    <s v="D004"/>
    <n v="10196"/>
    <d v="2013-07-08T00:00:00"/>
    <n v="57575"/>
    <x v="0"/>
    <d v="1980-04-18T00:00:00"/>
    <s v="Single"/>
    <s v="US Citizen"/>
    <s v="Asian"/>
    <s v="MA"/>
    <n v="1550"/>
    <m/>
    <s v="N/A-Stillemployed"/>
    <s v="Active"/>
    <x v="0"/>
    <s v="Fully Meets"/>
    <n v="4.0999999999999996"/>
    <n v="4"/>
    <d v="2019-01-22T00:00:00"/>
    <n v="13"/>
    <x v="0"/>
    <x v="0"/>
    <s v="Kissy Sullivan"/>
    <n v="43"/>
    <x v="0"/>
    <n v="10.75"/>
    <s v="Satisfied"/>
    <x v="5"/>
    <x v="0"/>
  </r>
  <r>
    <s v="Navathe, Kurt"/>
    <n v="10079"/>
    <s v="P026"/>
    <s v="D003"/>
    <n v="10197"/>
    <d v="2017-02-10T00:00:00"/>
    <n v="87921"/>
    <x v="0"/>
    <d v="1970-04-25T00:00:00"/>
    <s v="Single"/>
    <s v="US Citizen"/>
    <s v="Asian"/>
    <s v="MA"/>
    <n v="2056"/>
    <m/>
    <s v="N/A-Stillemployed"/>
    <s v="Active"/>
    <x v="1"/>
    <s v="Fully Meets"/>
    <n v="5"/>
    <n v="3"/>
    <d v="2019-02-25T00:00:00"/>
    <n v="17"/>
    <x v="24"/>
    <x v="1"/>
    <s v="Brian Champaigne"/>
    <n v="53"/>
    <x v="1"/>
    <n v="7.083333333333333"/>
    <s v="Neutral"/>
    <x v="10"/>
    <x v="0"/>
  </r>
  <r>
    <s v="Ndzi, Colombui"/>
    <n v="10215"/>
    <s v="P023"/>
    <s v="D004"/>
    <n v="10069"/>
    <d v="2011-09-26T00:00:00"/>
    <n v="50470"/>
    <x v="0"/>
    <d v="1989-05-02T00:00:00"/>
    <s v="Single"/>
    <s v="US Citizen"/>
    <s v="Black or African American"/>
    <s v="MA"/>
    <n v="2110"/>
    <d v="2014-04-04T00:00:00"/>
    <s v="Return To School"/>
    <s v="Voluntarily Terminated"/>
    <x v="4"/>
    <s v="Fully Meets"/>
    <n v="4.3"/>
    <n v="3"/>
    <d v="2013-03-02T00:00:00"/>
    <n v="19"/>
    <x v="0"/>
    <x v="0"/>
    <s v="Webster Butler"/>
    <n v="34"/>
    <x v="0"/>
    <n v="2.5"/>
    <s v="Neutral"/>
    <x v="0"/>
    <x v="1"/>
  </r>
  <r>
    <s v="Ndzi, Horia"/>
    <n v="10185"/>
    <s v="P023"/>
    <s v="D004"/>
    <n v="10002"/>
    <d v="2013-04-01T00:00:00"/>
    <n v="46664"/>
    <x v="0"/>
    <d v="1983-03-28T00:00:00"/>
    <s v="Married"/>
    <s v="US Citizen"/>
    <s v="White"/>
    <s v="MA"/>
    <n v="2421"/>
    <d v="2016-05-25T00:00:00"/>
    <s v="More Money"/>
    <s v="Voluntarily Terminated"/>
    <x v="3"/>
    <s v="Fully Meets"/>
    <n v="3.18"/>
    <n v="3"/>
    <d v="2016-03-06T00:00:00"/>
    <n v="10"/>
    <x v="0"/>
    <x v="0"/>
    <s v="Amy Dunn"/>
    <n v="41"/>
    <x v="0"/>
    <n v="3.0833333333333335"/>
    <s v="Neutral"/>
    <x v="5"/>
    <x v="1"/>
  </r>
  <r>
    <s v="Newman, Richard "/>
    <n v="10063"/>
    <s v="P023"/>
    <s v="D004"/>
    <n v="10062"/>
    <d v="2014-05-12T00:00:00"/>
    <n v="48495"/>
    <x v="0"/>
    <d v="1977-04-08T00:00:00"/>
    <s v="Married"/>
    <s v="US Citizen"/>
    <s v="White"/>
    <s v="MA"/>
    <n v="2136"/>
    <m/>
    <s v="N/A-Stillemployed"/>
    <s v="Active"/>
    <x v="0"/>
    <s v="Fully Meets"/>
    <n v="5"/>
    <n v="5"/>
    <d v="2019-02-18T00:00:00"/>
    <n v="11"/>
    <x v="0"/>
    <x v="0"/>
    <s v="Ketsia Liebig"/>
    <n v="47"/>
    <x v="0"/>
    <n v="9.8333333333333339"/>
    <s v="Very Satisfied"/>
    <x v="4"/>
    <x v="0"/>
  </r>
  <r>
    <s v="Ngodup, Shari "/>
    <n v="10037"/>
    <s v="P023"/>
    <s v="D004"/>
    <n v="10114"/>
    <d v="2013-04-01T00:00:00"/>
    <n v="52984"/>
    <x v="1"/>
    <d v="1967-06-03T00:00:00"/>
    <s v="Separated"/>
    <s v="US Citizen"/>
    <s v="Black or African American"/>
    <s v="MA"/>
    <n v="1810"/>
    <m/>
    <s v="N/A-Stillemployed"/>
    <s v="Active"/>
    <x v="4"/>
    <s v="Exceeds"/>
    <n v="4"/>
    <n v="3"/>
    <d v="2019-02-13T00:00:00"/>
    <n v="12"/>
    <x v="0"/>
    <x v="0"/>
    <s v="Brannon Miller"/>
    <n v="56"/>
    <x v="1"/>
    <n v="11"/>
    <s v="Neutral"/>
    <x v="5"/>
    <x v="0"/>
  </r>
  <r>
    <s v="Nguyen, Dheepa"/>
    <n v="10042"/>
    <s v="P003"/>
    <s v="D005"/>
    <n v="10200"/>
    <d v="2013-07-08T00:00:00"/>
    <n v="63695"/>
    <x v="1"/>
    <d v="1989-03-31T00:00:00"/>
    <s v="Single"/>
    <s v="US Citizen"/>
    <s v="Two or more races"/>
    <s v="GA"/>
    <n v="30428"/>
    <m/>
    <s v="N/A-Stillemployed"/>
    <s v="Active"/>
    <x v="1"/>
    <s v="Fully Meets"/>
    <n v="5"/>
    <n v="5"/>
    <d v="2019-01-25T00:00:00"/>
    <n v="2"/>
    <x v="11"/>
    <x v="4"/>
    <s v="Lynn Daneault"/>
    <n v="35"/>
    <x v="0"/>
    <n v="10.75"/>
    <s v="Very Satisfied"/>
    <x v="5"/>
    <x v="0"/>
  </r>
  <r>
    <s v="Nguyen, Lei-Ming"/>
    <n v="10206"/>
    <s v="P023"/>
    <s v="D004"/>
    <n v="10252"/>
    <d v="2013-07-08T00:00:00"/>
    <n v="62061"/>
    <x v="1"/>
    <d v="1984-07-07T00:00:00"/>
    <s v="Single"/>
    <s v="US Citizen"/>
    <s v="White"/>
    <s v="MA"/>
    <n v="2132"/>
    <m/>
    <s v="N/A-Stillemployed"/>
    <s v="Active"/>
    <x v="0"/>
    <s v="Fully Meets"/>
    <n v="3.6"/>
    <n v="5"/>
    <d v="2019-01-02T00:00:00"/>
    <n v="4"/>
    <x v="0"/>
    <x v="0"/>
    <s v="David Stanley"/>
    <n v="39"/>
    <x v="0"/>
    <n v="10.75"/>
    <s v="Very Satisfied"/>
    <x v="5"/>
    <x v="0"/>
  </r>
  <r>
    <s v="Nowlan, Kristie"/>
    <n v="10104"/>
    <s v="P024"/>
    <s v="D004"/>
    <n v="10088"/>
    <d v="2014-11-10T00:00:00"/>
    <n v="66738"/>
    <x v="1"/>
    <d v="1985-11-23T00:00:00"/>
    <s v="Single"/>
    <s v="US Citizen"/>
    <s v="White"/>
    <s v="MA"/>
    <n v="1040"/>
    <m/>
    <s v="N/A-Stillemployed"/>
    <s v="Active"/>
    <x v="1"/>
    <s v="Fully Meets"/>
    <n v="4.53"/>
    <n v="5"/>
    <d v="2019-01-16T00:00:00"/>
    <n v="5"/>
    <x v="2"/>
    <x v="0"/>
    <s v="Elijiah Gray"/>
    <n v="38"/>
    <x v="0"/>
    <n v="9.3333333333333339"/>
    <s v="Very Satisfied"/>
    <x v="4"/>
    <x v="0"/>
  </r>
  <r>
    <s v="O'hare, Lynn"/>
    <n v="10303"/>
    <s v="P023"/>
    <s v="D004"/>
    <n v="10196"/>
    <d v="2014-03-31T00:00:00"/>
    <n v="52674"/>
    <x v="1"/>
    <d v="1980-09-30T00:00:00"/>
    <s v="Single"/>
    <s v="US Citizen"/>
    <s v="Two or more races"/>
    <s v="MA"/>
    <n v="2152"/>
    <d v="2018-05-01T00:00:00"/>
    <s v="Performance"/>
    <s v="Terminated for Cause"/>
    <x v="0"/>
    <s v="PIP"/>
    <n v="2.33"/>
    <n v="2"/>
    <d v="2018-03-09T00:00:00"/>
    <n v="3"/>
    <x v="0"/>
    <x v="0"/>
    <s v="Kissy Sullivan"/>
    <n v="43"/>
    <x v="0"/>
    <n v="4.083333333333333"/>
    <s v="Dissatisfied"/>
    <x v="4"/>
    <x v="1"/>
  </r>
  <r>
    <s v="Oliver, Brooke "/>
    <n v="10078"/>
    <s v="P024"/>
    <s v="D004"/>
    <n v="10069"/>
    <d v="2012-05-14T00:00:00"/>
    <n v="71966"/>
    <x v="1"/>
    <d v="1952-02-11T00:00:00"/>
    <s v="Married"/>
    <s v="US Citizen"/>
    <s v="Asian"/>
    <s v="MA"/>
    <n v="2492"/>
    <d v="2013-08-19T00:00:00"/>
    <s v="Unhappy"/>
    <s v="Voluntarily Terminated"/>
    <x v="0"/>
    <s v="Fully Meets"/>
    <n v="5"/>
    <n v="3"/>
    <d v="2013-07-02T00:00:00"/>
    <n v="17"/>
    <x v="2"/>
    <x v="0"/>
    <s v="Webster Butler"/>
    <n v="72"/>
    <x v="2"/>
    <n v="1.25"/>
    <s v="Neutral"/>
    <x v="3"/>
    <x v="1"/>
  </r>
  <r>
    <s v="Onque, Jasmine"/>
    <n v="10121"/>
    <s v="P003"/>
    <s v="D005"/>
    <n v="10200"/>
    <d v="2013-09-30T00:00:00"/>
    <n v="63051"/>
    <x v="1"/>
    <d v="1990-05-11T00:00:00"/>
    <s v="Single"/>
    <s v="US Citizen"/>
    <s v="White"/>
    <s v="FL"/>
    <n v="33174"/>
    <m/>
    <s v="N/A-Stillemployed"/>
    <s v="Active"/>
    <x v="1"/>
    <s v="Fully Meets"/>
    <n v="4.28"/>
    <n v="3"/>
    <d v="2019-01-25T00:00:00"/>
    <n v="1"/>
    <x v="11"/>
    <x v="4"/>
    <s v="Lynn Daneault"/>
    <n v="33"/>
    <x v="0"/>
    <n v="10.5"/>
    <s v="Neutral"/>
    <x v="5"/>
    <x v="0"/>
  </r>
  <r>
    <s v="Osturnka, Adeel"/>
    <n v="10021"/>
    <s v="P023"/>
    <s v="D004"/>
    <n v="10265"/>
    <d v="2013-09-30T00:00:00"/>
    <n v="47414"/>
    <x v="0"/>
    <d v="1976-12-11T00:00:00"/>
    <s v="Married"/>
    <s v="US Citizen"/>
    <s v="White"/>
    <s v="MA"/>
    <n v="2478"/>
    <m/>
    <s v="N/A-Stillemployed"/>
    <s v="Active"/>
    <x v="0"/>
    <s v="Exceeds"/>
    <n v="5"/>
    <n v="3"/>
    <d v="2019-02-07T00:00:00"/>
    <n v="13"/>
    <x v="0"/>
    <x v="0"/>
    <s v="Kelley Spirea"/>
    <n v="47"/>
    <x v="0"/>
    <n v="10.5"/>
    <s v="Neutral"/>
    <x v="5"/>
    <x v="0"/>
  </r>
  <r>
    <s v="Owad, Clinton"/>
    <n v="10281"/>
    <s v="P023"/>
    <s v="D004"/>
    <n v="10026"/>
    <d v="2014-02-17T00:00:00"/>
    <n v="53060"/>
    <x v="0"/>
    <d v="1979-11-24T00:00:00"/>
    <s v="Single"/>
    <s v="US Citizen"/>
    <s v="Black or African American"/>
    <s v="MA"/>
    <n v="1760"/>
    <m/>
    <s v="N/A-Stillemployed"/>
    <s v="Active"/>
    <x v="0"/>
    <s v="Needs Improvement"/>
    <n v="4.25"/>
    <n v="3"/>
    <d v="2019-02-04T00:00:00"/>
    <n v="6"/>
    <x v="0"/>
    <x v="0"/>
    <s v="Michael Albert"/>
    <n v="44"/>
    <x v="0"/>
    <n v="10.083333333333334"/>
    <s v="Neutral"/>
    <x v="4"/>
    <x v="0"/>
  </r>
  <r>
    <s v="Ozark, Travis"/>
    <n v="10041"/>
    <s v="P003"/>
    <s v="D005"/>
    <n v="10188"/>
    <d v="2015-01-05T00:00:00"/>
    <n v="68829"/>
    <x v="0"/>
    <d v="1982-05-19T00:00:00"/>
    <s v="Single"/>
    <s v="US Citizen"/>
    <s v="White"/>
    <s v="NC"/>
    <n v="27229"/>
    <m/>
    <s v="N/A-Stillemployed"/>
    <s v="Active"/>
    <x v="7"/>
    <s v="Fully Meets"/>
    <n v="5"/>
    <n v="5"/>
    <d v="2019-01-14T00:00:00"/>
    <n v="18"/>
    <x v="11"/>
    <x v="4"/>
    <s v="John Smith"/>
    <n v="41"/>
    <x v="0"/>
    <n v="9.25"/>
    <s v="Very Satisfied"/>
    <x v="1"/>
    <x v="0"/>
  </r>
  <r>
    <s v="Panjwani, Nina"/>
    <n v="10148"/>
    <s v="P023"/>
    <s v="D004"/>
    <n v="10088"/>
    <d v="2011-02-07T00:00:00"/>
    <n v="63515"/>
    <x v="1"/>
    <d v="1979-05-01T00:00:00"/>
    <s v="Married"/>
    <s v="US Citizen"/>
    <s v="White"/>
    <s v="MA"/>
    <n v="2351"/>
    <d v="2014-01-12T00:00:00"/>
    <s v="Another Position"/>
    <s v="Voluntarily Terminated"/>
    <x v="2"/>
    <s v="Fully Meets"/>
    <n v="3.89"/>
    <n v="4"/>
    <d v="2013-03-04T00:00:00"/>
    <n v="7"/>
    <x v="0"/>
    <x v="0"/>
    <s v="Elijiah Gray"/>
    <n v="44"/>
    <x v="0"/>
    <n v="2.9166666666666665"/>
    <s v="Satisfied"/>
    <x v="0"/>
    <x v="1"/>
  </r>
  <r>
    <s v="Patronick, Lucas"/>
    <n v="10005"/>
    <s v="P028"/>
    <s v="D006"/>
    <n v="10194"/>
    <d v="2011-11-07T00:00:00"/>
    <n v="108987"/>
    <x v="0"/>
    <d v="1979-02-20T00:00:00"/>
    <s v="Single"/>
    <s v="US Citizen"/>
    <s v="Black or African American"/>
    <s v="MA"/>
    <n v="1844"/>
    <d v="2015-09-07T00:00:00"/>
    <s v="Another Position"/>
    <s v="Voluntarily Terminated"/>
    <x v="4"/>
    <s v="Exceeds"/>
    <n v="5"/>
    <n v="5"/>
    <d v="2015-08-16T00:00:00"/>
    <n v="13"/>
    <x v="3"/>
    <x v="2"/>
    <s v="Alex Sweetwater"/>
    <n v="45"/>
    <x v="0"/>
    <n v="3.8333333333333335"/>
    <s v="Very Satisfied"/>
    <x v="0"/>
    <x v="1"/>
  </r>
  <r>
    <s v="Pearson, Randall"/>
    <n v="10259"/>
    <s v="P007"/>
    <s v="D003"/>
    <n v="10084"/>
    <d v="2014-12-01T00:00:00"/>
    <n v="93093"/>
    <x v="0"/>
    <d v="1984-09-05T00:00:00"/>
    <s v="Married"/>
    <s v="US Citizen"/>
    <s v="White"/>
    <s v="MA"/>
    <n v="2747"/>
    <d v="2016-05-01T00:00:00"/>
    <s v="Performance"/>
    <s v="Voluntarily Terminated"/>
    <x v="3"/>
    <s v="Fully Meets"/>
    <n v="4.7"/>
    <n v="4"/>
    <d v="2016-01-16T00:00:00"/>
    <n v="19"/>
    <x v="5"/>
    <x v="1"/>
    <s v="Simon Roup"/>
    <n v="39"/>
    <x v="0"/>
    <n v="1.4166666666666667"/>
    <s v="Satisfied"/>
    <x v="4"/>
    <x v="1"/>
  </r>
  <r>
    <s v="Smith, Martin"/>
    <n v="10286"/>
    <s v="P023"/>
    <s v="D004"/>
    <n v="10069"/>
    <d v="2011-01-10T00:00:00"/>
    <n v="53564"/>
    <x v="0"/>
    <d v="1988-03-17T00:00:00"/>
    <s v="Single"/>
    <s v="US Citizen"/>
    <s v="Black or African American"/>
    <s v="MA"/>
    <n v="2458"/>
    <d v="2017-12-28T00:00:00"/>
    <s v="Career Change"/>
    <s v="Voluntarily Terminated"/>
    <x v="2"/>
    <s v="Needs Improvement"/>
    <n v="3.54"/>
    <n v="5"/>
    <d v="2017-04-06T00:00:00"/>
    <n v="15"/>
    <x v="0"/>
    <x v="0"/>
    <s v="Webster Butler"/>
    <n v="36"/>
    <x v="0"/>
    <n v="6.916666666666667"/>
    <s v="Very Satisfied"/>
    <x v="0"/>
    <x v="1"/>
  </r>
  <r>
    <s v="Pelletier, Ermine"/>
    <n v="10297"/>
    <s v="P024"/>
    <s v="D004"/>
    <n v="10002"/>
    <d v="2011-07-05T00:00:00"/>
    <n v="60270"/>
    <x v="1"/>
    <d v="1989-07-18T00:00:00"/>
    <s v="Married"/>
    <s v="US Citizen"/>
    <s v="Asian"/>
    <s v="MA"/>
    <n v="2472"/>
    <d v="2015-09-15T00:00:00"/>
    <s v="Unhappy"/>
    <s v="Voluntarily Terminated"/>
    <x v="6"/>
    <s v="Needs Improvement"/>
    <n v="2.4"/>
    <n v="5"/>
    <d v="2015-02-06T00:00:00"/>
    <n v="2"/>
    <x v="2"/>
    <x v="0"/>
    <s v="Amy Dunn"/>
    <n v="34"/>
    <x v="0"/>
    <n v="4.166666666666667"/>
    <s v="Very Satisfied"/>
    <x v="0"/>
    <x v="1"/>
  </r>
  <r>
    <s v="Perry, Shakira"/>
    <n v="10171"/>
    <s v="P023"/>
    <s v="D004"/>
    <n v="10002"/>
    <d v="2011-05-16T00:00:00"/>
    <n v="45998"/>
    <x v="1"/>
    <d v="1986-07-20T00:00:00"/>
    <s v="Single"/>
    <s v="US Citizen"/>
    <s v="White"/>
    <s v="MA"/>
    <n v="2176"/>
    <d v="2015-10-25T00:00:00"/>
    <s v="Medical Issues"/>
    <s v="Voluntarily Terminated"/>
    <x v="0"/>
    <s v="Fully Meets"/>
    <n v="3.45"/>
    <n v="4"/>
    <d v="2014-05-13T00:00:00"/>
    <n v="5"/>
    <x v="0"/>
    <x v="0"/>
    <s v="Amy Dunn"/>
    <n v="37"/>
    <x v="0"/>
    <n v="4.416666666666667"/>
    <s v="Satisfied"/>
    <x v="0"/>
    <x v="1"/>
  </r>
  <r>
    <s v="Peters, Lauren"/>
    <n v="10032"/>
    <s v="P024"/>
    <s v="D004"/>
    <n v="10062"/>
    <d v="2011-05-16T00:00:00"/>
    <n v="57954"/>
    <x v="1"/>
    <d v="1986-08-17T00:00:00"/>
    <s v="Married"/>
    <s v="US Citizen"/>
    <s v="White"/>
    <s v="MA"/>
    <n v="1886"/>
    <d v="2013-02-04T00:00:00"/>
    <s v="More Money"/>
    <s v="Voluntarily Terminated"/>
    <x v="1"/>
    <s v="Exceeds"/>
    <n v="4.2"/>
    <n v="5"/>
    <d v="2013-01-10T00:00:00"/>
    <n v="12"/>
    <x v="2"/>
    <x v="0"/>
    <s v="Ketsia Liebig"/>
    <n v="37"/>
    <x v="0"/>
    <n v="1.6666666666666667"/>
    <s v="Very Satisfied"/>
    <x v="0"/>
    <x v="1"/>
  </r>
  <r>
    <s v="Peterson, Ebonee  "/>
    <n v="10130"/>
    <s v="P022"/>
    <s v="D004"/>
    <n v="10175"/>
    <d v="2010-10-25T00:00:00"/>
    <n v="74669"/>
    <x v="1"/>
    <d v="1977-05-09T00:00:00"/>
    <s v="Married"/>
    <s v="US Citizen"/>
    <s v="White"/>
    <s v="MA"/>
    <n v="2030"/>
    <d v="2016-05-18T00:00:00"/>
    <s v="Another Position"/>
    <s v="Voluntarily Terminated"/>
    <x v="1"/>
    <s v="Fully Meets"/>
    <n v="4.16"/>
    <n v="5"/>
    <d v="2015-03-05T00:00:00"/>
    <n v="6"/>
    <x v="9"/>
    <x v="0"/>
    <s v="Janet King"/>
    <n v="46"/>
    <x v="0"/>
    <n v="5.5"/>
    <s v="Very Satisfied"/>
    <x v="8"/>
    <x v="1"/>
  </r>
  <r>
    <s v="Petingill, Shana  "/>
    <n v="10217"/>
    <s v="P024"/>
    <s v="D004"/>
    <n v="10114"/>
    <d v="2012-04-02T00:00:00"/>
    <n v="74226"/>
    <x v="1"/>
    <d v="1979-03-10T00:00:00"/>
    <s v="Married"/>
    <s v="Eligible NonCitizen"/>
    <s v="Asian"/>
    <s v="MA"/>
    <n v="2050"/>
    <m/>
    <s v="N/A-Stillemployed"/>
    <s v="Active"/>
    <x v="0"/>
    <s v="Fully Meets"/>
    <n v="4.3"/>
    <n v="3"/>
    <d v="2019-01-14T00:00:00"/>
    <n v="14"/>
    <x v="2"/>
    <x v="0"/>
    <s v="Brannon Miller"/>
    <n v="45"/>
    <x v="0"/>
    <n v="12"/>
    <s v="Neutral"/>
    <x v="3"/>
    <x v="0"/>
  </r>
  <r>
    <s v="Petrowsky, Thelma"/>
    <n v="10016"/>
    <s v="P007"/>
    <s v="D003"/>
    <n v="10084"/>
    <d v="2014-11-10T00:00:00"/>
    <n v="93554"/>
    <x v="1"/>
    <d v="1984-09-16T00:00:00"/>
    <s v="Married"/>
    <s v="US Citizen"/>
    <s v="Black or African American"/>
    <s v="MA"/>
    <n v="1886"/>
    <m/>
    <s v="N/A-Stillemployed"/>
    <s v="Active"/>
    <x v="3"/>
    <s v="Exceeds"/>
    <n v="4.5999999999999996"/>
    <n v="5"/>
    <d v="2019-01-04T00:00:00"/>
    <n v="16"/>
    <x v="5"/>
    <x v="1"/>
    <s v="Simon Roup"/>
    <n v="39"/>
    <x v="0"/>
    <n v="9.3333333333333339"/>
    <s v="Very Satisfied"/>
    <x v="4"/>
    <x v="0"/>
  </r>
  <r>
    <s v="Pham, Hong"/>
    <n v="10050"/>
    <s v="P023"/>
    <s v="D004"/>
    <n v="10114"/>
    <d v="2011-07-05T00:00:00"/>
    <n v="64724"/>
    <x v="0"/>
    <d v="1988-03-06T00:00:00"/>
    <s v="Married"/>
    <s v="US Citizen"/>
    <s v="Asian"/>
    <s v="MA"/>
    <n v="2451"/>
    <d v="2012-11-30T00:00:00"/>
    <s v="More Money"/>
    <s v="Voluntarily Terminated"/>
    <x v="2"/>
    <s v="Fully Meets"/>
    <n v="5"/>
    <n v="3"/>
    <d v="2012-02-20T00:00:00"/>
    <n v="13"/>
    <x v="0"/>
    <x v="0"/>
    <s v="Brannon Miller"/>
    <n v="36"/>
    <x v="0"/>
    <n v="1.3333333333333333"/>
    <s v="Neutral"/>
    <x v="0"/>
    <x v="1"/>
  </r>
  <r>
    <s v="Pitt, Brad "/>
    <n v="10164"/>
    <s v="P023"/>
    <s v="D004"/>
    <n v="10252"/>
    <d v="2007-11-05T00:00:00"/>
    <n v="47001"/>
    <x v="0"/>
    <d v="1981-11-23T00:00:00"/>
    <s v="Single"/>
    <s v="US Citizen"/>
    <s v="White"/>
    <s v="MA"/>
    <n v="2451"/>
    <m/>
    <s v="N/A-Stillemployed"/>
    <s v="Active"/>
    <x v="2"/>
    <s v="Fully Meets"/>
    <n v="3.66"/>
    <n v="3"/>
    <d v="2019-02-25T00:00:00"/>
    <n v="15"/>
    <x v="0"/>
    <x v="0"/>
    <s v="David Stanley"/>
    <n v="42"/>
    <x v="0"/>
    <n v="16.416666666666668"/>
    <s v="Neutral"/>
    <x v="11"/>
    <x v="0"/>
  </r>
  <r>
    <s v="Potts, Xana"/>
    <n v="10124"/>
    <s v="P003"/>
    <s v="D005"/>
    <n v="10200"/>
    <d v="2012-01-09T00:00:00"/>
    <n v="61844"/>
    <x v="1"/>
    <d v="1988-08-29T00:00:00"/>
    <s v="Married"/>
    <s v="US Citizen"/>
    <s v="Black or African American"/>
    <s v="KY"/>
    <n v="40220"/>
    <m/>
    <s v="N/A-Stillemployed"/>
    <s v="Active"/>
    <x v="7"/>
    <s v="Fully Meets"/>
    <n v="4.2"/>
    <n v="5"/>
    <d v="2019-02-01T00:00:00"/>
    <n v="9"/>
    <x v="11"/>
    <x v="4"/>
    <s v="Lynn Daneault"/>
    <n v="35"/>
    <x v="0"/>
    <n v="12.25"/>
    <s v="Very Satisfied"/>
    <x v="3"/>
    <x v="0"/>
  </r>
  <r>
    <s v="Power, Morissa"/>
    <n v="10187"/>
    <s v="P023"/>
    <s v="D004"/>
    <n v="10196"/>
    <d v="2011-05-16T00:00:00"/>
    <n v="46799"/>
    <x v="1"/>
    <d v="1984-10-15T00:00:00"/>
    <s v="Divorced"/>
    <s v="Eligible NonCitizen"/>
    <s v="Asian"/>
    <s v="MA"/>
    <n v="1742"/>
    <d v="2018-06-04T00:00:00"/>
    <s v="Another Position"/>
    <s v="Voluntarily Terminated"/>
    <x v="2"/>
    <s v="Fully Meets"/>
    <n v="3.17"/>
    <n v="4"/>
    <d v="2018-04-02T00:00:00"/>
    <n v="14"/>
    <x v="0"/>
    <x v="0"/>
    <s v="Kissy Sullivan"/>
    <n v="39"/>
    <x v="0"/>
    <n v="7"/>
    <s v="Satisfied"/>
    <x v="0"/>
    <x v="1"/>
  </r>
  <r>
    <s v="Punjabhi, Louis  "/>
    <n v="10225"/>
    <s v="P023"/>
    <s v="D004"/>
    <n v="10265"/>
    <d v="2014-01-06T00:00:00"/>
    <n v="59472"/>
    <x v="0"/>
    <d v="1961-06-19T00:00:00"/>
    <s v="Single"/>
    <s v="US Citizen"/>
    <s v="White"/>
    <s v="MA"/>
    <n v="2109"/>
    <m/>
    <s v="N/A-Stillemployed"/>
    <s v="Active"/>
    <x v="3"/>
    <s v="Fully Meets"/>
    <n v="4.8"/>
    <n v="3"/>
    <d v="2019-01-07T00:00:00"/>
    <n v="14"/>
    <x v="0"/>
    <x v="0"/>
    <s v="Kelley Spirea"/>
    <n v="62"/>
    <x v="2"/>
    <n v="10.25"/>
    <s v="Neutral"/>
    <x v="4"/>
    <x v="0"/>
  </r>
  <r>
    <s v="Purinton, Janine"/>
    <n v="10262"/>
    <s v="P023"/>
    <s v="D004"/>
    <n v="10196"/>
    <d v="2012-09-24T00:00:00"/>
    <n v="46430"/>
    <x v="1"/>
    <d v="1970-09-22T00:00:00"/>
    <s v="Divorced"/>
    <s v="US Citizen"/>
    <s v="White"/>
    <s v="MA"/>
    <n v="2474"/>
    <d v="2013-06-18T00:00:00"/>
    <s v="Unhappy"/>
    <s v="Voluntarily Terminated"/>
    <x v="1"/>
    <s v="Fully Meets"/>
    <n v="4.5"/>
    <n v="5"/>
    <d v="2013-04-02T00:00:00"/>
    <n v="16"/>
    <x v="0"/>
    <x v="0"/>
    <s v="Kissy Sullivan"/>
    <n v="53"/>
    <x v="1"/>
    <n v="0.66666666666666663"/>
    <s v="Very Satisfied"/>
    <x v="3"/>
    <x v="1"/>
  </r>
  <r>
    <s v="Quinn, Sean"/>
    <n v="10131"/>
    <s v="P028"/>
    <s v="D006"/>
    <n v="10175"/>
    <d v="2011-02-21T00:00:00"/>
    <n v="83363"/>
    <x v="0"/>
    <d v="1984-11-06T00:00:00"/>
    <s v="Married"/>
    <s v="Eligible NonCitizen"/>
    <s v="Black or African American"/>
    <s v="MA"/>
    <n v="2045"/>
    <d v="2015-08-15T00:00:00"/>
    <s v="Career Change"/>
    <s v="Voluntarily Terminated"/>
    <x v="4"/>
    <s v="Fully Meets"/>
    <n v="4.1500000000000004"/>
    <n v="4"/>
    <d v="2014-04-19T00:00:00"/>
    <n v="4"/>
    <x v="3"/>
    <x v="2"/>
    <s v="Janet King"/>
    <n v="39"/>
    <x v="0"/>
    <n v="4.416666666666667"/>
    <s v="Satisfied"/>
    <x v="0"/>
    <x v="1"/>
  </r>
  <r>
    <s v="Rachael, Maggie"/>
    <n v="10239"/>
    <s v="P004"/>
    <s v="D003"/>
    <n v="10197"/>
    <d v="2016-10-02T00:00:00"/>
    <n v="95920"/>
    <x v="1"/>
    <d v="1980-05-12T00:00:00"/>
    <s v="Married"/>
    <s v="US Citizen"/>
    <s v="Black or African American"/>
    <s v="MA"/>
    <n v="2110"/>
    <m/>
    <s v="N/A-Stillemployed"/>
    <s v="Active"/>
    <x v="1"/>
    <s v="Fully Meets"/>
    <n v="4.4000000000000004"/>
    <n v="4"/>
    <d v="2019-02-06T00:00:00"/>
    <n v="10"/>
    <x v="17"/>
    <x v="1"/>
    <s v="Brian Champaigne"/>
    <n v="43"/>
    <x v="0"/>
    <n v="7.5"/>
    <s v="Satisfied"/>
    <x v="7"/>
    <x v="0"/>
  </r>
  <r>
    <s v="Rarrick, Quinn"/>
    <n v="10152"/>
    <s v="P023"/>
    <s v="D004"/>
    <n v="10026"/>
    <d v="2011-09-26T00:00:00"/>
    <n v="61729"/>
    <x v="0"/>
    <d v="1984-12-31T00:00:00"/>
    <s v="Divorced"/>
    <s v="US Citizen"/>
    <s v="White"/>
    <s v="MA"/>
    <n v="2478"/>
    <d v="2018-04-07T00:00:00"/>
    <s v="More Money"/>
    <s v="Voluntarily Terminated"/>
    <x v="1"/>
    <s v="Fully Meets"/>
    <n v="3.8"/>
    <n v="5"/>
    <d v="2018-02-04T00:00:00"/>
    <n v="19"/>
    <x v="0"/>
    <x v="0"/>
    <s v="Michael Albert"/>
    <n v="39"/>
    <x v="0"/>
    <n v="6.5"/>
    <s v="Very Satisfied"/>
    <x v="0"/>
    <x v="1"/>
  </r>
  <r>
    <s v="Ren, Kylo"/>
    <n v="10140"/>
    <s v="P003"/>
    <s v="D005"/>
    <n v="10188"/>
    <d v="2014-05-12T00:00:00"/>
    <n v="61809"/>
    <x v="0"/>
    <d v="1954-10-12T00:00:00"/>
    <s v="Married"/>
    <s v="US Citizen"/>
    <s v="White"/>
    <s v="ID"/>
    <n v="83706"/>
    <m/>
    <s v="N/A-Stillemployed"/>
    <s v="Active"/>
    <x v="6"/>
    <s v="Fully Meets"/>
    <n v="3.98"/>
    <n v="3"/>
    <d v="2019-01-28T00:00:00"/>
    <n v="4"/>
    <x v="11"/>
    <x v="4"/>
    <s v="John Smith"/>
    <n v="69"/>
    <x v="2"/>
    <n v="9.8333333333333339"/>
    <s v="Neutral"/>
    <x v="4"/>
    <x v="0"/>
  </r>
  <r>
    <s v="Rhoads, Thomas"/>
    <n v="10058"/>
    <s v="P023"/>
    <s v="D004"/>
    <n v="10088"/>
    <d v="2011-05-16T00:00:00"/>
    <n v="45115"/>
    <x v="0"/>
    <d v="1982-07-22T00:00:00"/>
    <s v="Divorced"/>
    <s v="US Citizen"/>
    <s v="White"/>
    <s v="MA"/>
    <n v="2176"/>
    <d v="2016-01-15T00:00:00"/>
    <s v="Retiring"/>
    <s v="Voluntarily Terminated"/>
    <x v="0"/>
    <s v="Fully Meets"/>
    <n v="5"/>
    <n v="4"/>
    <d v="2015-03-30T00:00:00"/>
    <n v="11"/>
    <x v="0"/>
    <x v="0"/>
    <s v="Elijiah Gray"/>
    <n v="41"/>
    <x v="0"/>
    <n v="4.583333333333333"/>
    <s v="Satisfied"/>
    <x v="0"/>
    <x v="1"/>
  </r>
  <r>
    <s v="Rivera, Haley  "/>
    <n v="10011"/>
    <s v="P023"/>
    <s v="D004"/>
    <n v="10069"/>
    <d v="2011-11-28T00:00:00"/>
    <n v="46738"/>
    <x v="1"/>
    <d v="1973-01-12T00:00:00"/>
    <s v="Married"/>
    <s v="US Citizen"/>
    <s v="Asian"/>
    <s v="MA"/>
    <n v="2171"/>
    <m/>
    <s v="N/A-Stillemployed"/>
    <s v="Active"/>
    <x v="2"/>
    <s v="Exceeds"/>
    <n v="4.3600000000000003"/>
    <n v="5"/>
    <d v="2019-02-11T00:00:00"/>
    <n v="16"/>
    <x v="0"/>
    <x v="0"/>
    <s v="Webster Butler"/>
    <n v="51"/>
    <x v="1"/>
    <n v="12.333333333333334"/>
    <s v="Very Satisfied"/>
    <x v="0"/>
    <x v="0"/>
  </r>
  <r>
    <s v="Roberson, May"/>
    <n v="10230"/>
    <s v="P024"/>
    <s v="D004"/>
    <n v="10252"/>
    <d v="2011-09-26T00:00:00"/>
    <n v="64971"/>
    <x v="1"/>
    <d v="1981-09-05T00:00:00"/>
    <s v="Divorced"/>
    <s v="Eligible NonCitizen"/>
    <s v="Black or African American"/>
    <s v="MA"/>
    <n v="1902"/>
    <d v="2011-10-22T00:00:00"/>
    <s v="Return To School"/>
    <s v="Voluntarily Terminated"/>
    <x v="2"/>
    <s v="Fully Meets"/>
    <n v="4.5"/>
    <n v="4"/>
    <d v="2011-10-22T00:00:00"/>
    <n v="10"/>
    <x v="2"/>
    <x v="0"/>
    <s v="David Stanley"/>
    <n v="42"/>
    <x v="0"/>
    <n v="0"/>
    <s v="Satisfied"/>
    <x v="0"/>
    <x v="1"/>
  </r>
  <r>
    <s v="Robertson, Peter"/>
    <n v="10224"/>
    <s v="P024"/>
    <s v="D004"/>
    <n v="10196"/>
    <d v="2011-07-05T00:00:00"/>
    <n v="55578"/>
    <x v="0"/>
    <d v="1972-07-03T00:00:00"/>
    <s v="Married"/>
    <s v="US Citizen"/>
    <s v="White"/>
    <s v="MA"/>
    <n v="2138"/>
    <d v="2012-02-08T00:00:00"/>
    <s v="Another Position"/>
    <s v="Voluntarily Terminated"/>
    <x v="1"/>
    <s v="Fully Meets"/>
    <n v="4.2"/>
    <n v="5"/>
    <d v="2012-01-06T00:00:00"/>
    <n v="13"/>
    <x v="2"/>
    <x v="0"/>
    <s v="Kissy Sullivan"/>
    <n v="51"/>
    <x v="1"/>
    <n v="0.58333333333333337"/>
    <s v="Very Satisfied"/>
    <x v="0"/>
    <x v="1"/>
  </r>
  <r>
    <s v="Robinson, Alain  "/>
    <n v="10047"/>
    <s v="P023"/>
    <s v="D004"/>
    <n v="10002"/>
    <d v="2011-01-10T00:00:00"/>
    <n v="50428"/>
    <x v="0"/>
    <d v="1974-01-07T00:00:00"/>
    <s v="Married"/>
    <s v="US Citizen"/>
    <s v="Black or African American"/>
    <s v="MA"/>
    <n v="1420"/>
    <d v="2016-01-26T00:00:00"/>
    <s v="Attendance"/>
    <s v="Voluntarily Terminated"/>
    <x v="1"/>
    <s v="Fully Meets"/>
    <n v="5"/>
    <n v="3"/>
    <d v="2015-01-10T00:00:00"/>
    <n v="11"/>
    <x v="0"/>
    <x v="0"/>
    <s v="Amy Dunn"/>
    <n v="50"/>
    <x v="1"/>
    <n v="5"/>
    <s v="Neutral"/>
    <x v="0"/>
    <x v="1"/>
  </r>
  <r>
    <s v="Robinson, Cherly"/>
    <n v="10285"/>
    <s v="P023"/>
    <s v="D004"/>
    <n v="10062"/>
    <d v="2011-01-10T00:00:00"/>
    <n v="61422"/>
    <x v="1"/>
    <d v="1985-01-07T00:00:00"/>
    <s v="Married"/>
    <s v="US Citizen"/>
    <s v="White"/>
    <s v="MA"/>
    <n v="1460"/>
    <d v="2016-05-17T00:00:00"/>
    <s v="Attendance"/>
    <s v="Terminated for Cause"/>
    <x v="1"/>
    <s v="Needs Improvement"/>
    <n v="3.6"/>
    <n v="3"/>
    <d v="2016-04-05T00:00:00"/>
    <n v="16"/>
    <x v="0"/>
    <x v="0"/>
    <s v="Ketsia Liebig"/>
    <n v="39"/>
    <x v="0"/>
    <n v="5.333333333333333"/>
    <s v="Neutral"/>
    <x v="0"/>
    <x v="1"/>
  </r>
  <r>
    <s v="Robinson, Elias"/>
    <n v="10020"/>
    <s v="P023"/>
    <s v="D004"/>
    <n v="10114"/>
    <d v="2013-07-08T00:00:00"/>
    <n v="63353"/>
    <x v="0"/>
    <d v="1985-01-28T00:00:00"/>
    <s v="Widowed"/>
    <s v="US Citizen"/>
    <s v="White"/>
    <s v="MA"/>
    <n v="1730"/>
    <m/>
    <s v="N/A-Stillemployed"/>
    <s v="Active"/>
    <x v="3"/>
    <s v="Exceeds"/>
    <n v="3.6"/>
    <n v="5"/>
    <d v="2019-02-11T00:00:00"/>
    <n v="4"/>
    <x v="0"/>
    <x v="0"/>
    <s v="Brannon Miller"/>
    <n v="39"/>
    <x v="0"/>
    <n v="10.75"/>
    <s v="Very Satisfied"/>
    <x v="5"/>
    <x v="0"/>
  </r>
  <r>
    <s v="Roby, Lori "/>
    <n v="10162"/>
    <s v="P007"/>
    <s v="D003"/>
    <n v="10084"/>
    <d v="2015-02-16T00:00:00"/>
    <n v="89883"/>
    <x v="1"/>
    <d v="1981-10-11T00:00:00"/>
    <s v="Married"/>
    <s v="US Citizen"/>
    <s v="White"/>
    <s v="MA"/>
    <n v="1886"/>
    <m/>
    <s v="N/A-Stillemployed"/>
    <s v="Active"/>
    <x v="3"/>
    <s v="Fully Meets"/>
    <n v="3.69"/>
    <n v="5"/>
    <d v="2019-02-14T00:00:00"/>
    <n v="15"/>
    <x v="5"/>
    <x v="1"/>
    <s v="Simon Roup"/>
    <n v="42"/>
    <x v="0"/>
    <n v="9.0833333333333339"/>
    <s v="Very Satisfied"/>
    <x v="1"/>
    <x v="0"/>
  </r>
  <r>
    <s v="Roehrich, Bianca"/>
    <n v="10149"/>
    <s v="P021"/>
    <s v="D003"/>
    <n v="10084"/>
    <d v="2015-01-05T00:00:00"/>
    <n v="120000"/>
    <x v="1"/>
    <d v="1973-05-27T00:00:00"/>
    <s v="Single"/>
    <s v="US Citizen"/>
    <s v="White"/>
    <s v="MA"/>
    <n v="2703"/>
    <d v="2018-11-10T00:00:00"/>
    <s v="Another Position"/>
    <s v="Voluntarily Terminated"/>
    <x v="0"/>
    <s v="Fully Meets"/>
    <n v="3.88"/>
    <n v="3"/>
    <d v="2018-02-13T00:00:00"/>
    <n v="12"/>
    <x v="27"/>
    <x v="1"/>
    <s v="Simon Roup"/>
    <n v="50"/>
    <x v="1"/>
    <n v="3.8333333333333335"/>
    <s v="Neutral"/>
    <x v="1"/>
    <x v="1"/>
  </r>
  <r>
    <s v="Roper, Katie"/>
    <n v="10086"/>
    <s v="P009"/>
    <s v="D003"/>
    <n v="10197"/>
    <d v="2017-01-07T00:00:00"/>
    <n v="150290"/>
    <x v="1"/>
    <d v="1972-11-21T00:00:00"/>
    <s v="Single"/>
    <s v="US Citizen"/>
    <s v="Black or African American"/>
    <s v="MA"/>
    <n v="2056"/>
    <m/>
    <s v="N/A-Stillemployed"/>
    <s v="Active"/>
    <x v="1"/>
    <s v="Fully Meets"/>
    <n v="4.9400000000000004"/>
    <n v="3"/>
    <d v="2019-02-06T00:00:00"/>
    <n v="17"/>
    <x v="28"/>
    <x v="1"/>
    <s v="Brian Champaigne"/>
    <n v="51"/>
    <x v="1"/>
    <n v="7.25"/>
    <s v="Neutral"/>
    <x v="10"/>
    <x v="0"/>
  </r>
  <r>
    <s v="Rose, Ashley  "/>
    <n v="10054"/>
    <s v="P023"/>
    <s v="D004"/>
    <n v="10252"/>
    <d v="2014-01-06T00:00:00"/>
    <n v="60627"/>
    <x v="1"/>
    <d v="1974-12-05T00:00:00"/>
    <s v="Separated"/>
    <s v="US Citizen"/>
    <s v="White"/>
    <s v="MA"/>
    <n v="1886"/>
    <m/>
    <s v="N/A-Stillemployed"/>
    <s v="Active"/>
    <x v="7"/>
    <s v="Fully Meets"/>
    <n v="5"/>
    <n v="4"/>
    <d v="2019-01-31T00:00:00"/>
    <n v="8"/>
    <x v="0"/>
    <x v="0"/>
    <s v="David Stanley"/>
    <n v="49"/>
    <x v="0"/>
    <n v="10.25"/>
    <s v="Satisfied"/>
    <x v="4"/>
    <x v="0"/>
  </r>
  <r>
    <s v="Rossetti, Bruno"/>
    <n v="10065"/>
    <s v="P023"/>
    <s v="D004"/>
    <n v="10196"/>
    <d v="2011-04-04T00:00:00"/>
    <n v="53180"/>
    <x v="0"/>
    <d v="1987-03-18T00:00:00"/>
    <s v="Single"/>
    <s v="US Citizen"/>
    <s v="White"/>
    <s v="MA"/>
    <n v="2155"/>
    <d v="2018-08-13T00:00:00"/>
    <s v="Another Position"/>
    <s v="Voluntarily Terminated"/>
    <x v="2"/>
    <s v="Fully Meets"/>
    <n v="5"/>
    <n v="5"/>
    <d v="2018-07-02T00:00:00"/>
    <n v="4"/>
    <x v="0"/>
    <x v="0"/>
    <s v="Kissy Sullivan"/>
    <n v="37"/>
    <x v="0"/>
    <n v="7.333333333333333"/>
    <s v="Very Satisfied"/>
    <x v="0"/>
    <x v="1"/>
  </r>
  <r>
    <s v="Roup,Simon"/>
    <n v="10198"/>
    <s v="P015"/>
    <s v="D003"/>
    <n v="10150"/>
    <d v="2013-01-20T00:00:00"/>
    <n v="140920"/>
    <x v="0"/>
    <d v="1973-04-05T00:00:00"/>
    <s v="Single"/>
    <s v="US Citizen"/>
    <s v="White"/>
    <s v="MA"/>
    <n v="2481"/>
    <m/>
    <s v="N/A-Stillemployed"/>
    <s v="Active"/>
    <x v="1"/>
    <s v="Fully Meets"/>
    <n v="3.6"/>
    <n v="5"/>
    <d v="2019-02-18T00:00:00"/>
    <n v="13"/>
    <x v="29"/>
    <x v="1"/>
    <s v="Jennifer Zamora"/>
    <n v="51"/>
    <x v="1"/>
    <n v="11.166666666666666"/>
    <s v="Very Satisfied"/>
    <x v="5"/>
    <x v="0"/>
  </r>
  <r>
    <s v="Ruiz, Ricardo"/>
    <n v="10222"/>
    <s v="P015"/>
    <s v="D003"/>
    <n v="10150"/>
    <d v="2012-01-09T00:00:00"/>
    <n v="148999"/>
    <x v="0"/>
    <d v="1964-01-04T00:00:00"/>
    <s v="Divorced"/>
    <s v="US Citizen"/>
    <s v="Black or African American"/>
    <s v="MA"/>
    <n v="1915"/>
    <d v="2015-11-04T00:00:00"/>
    <s v="Hours"/>
    <s v="Voluntarily Terminated"/>
    <x v="4"/>
    <s v="Fully Meets"/>
    <n v="4.3"/>
    <n v="4"/>
    <d v="2015-01-04T00:00:00"/>
    <n v="8"/>
    <x v="29"/>
    <x v="1"/>
    <s v="Jennifer Zamora"/>
    <n v="60"/>
    <x v="2"/>
    <n v="3.75"/>
    <s v="Satisfied"/>
    <x v="3"/>
    <x v="1"/>
  </r>
  <r>
    <s v="Saada, Adell"/>
    <n v="10126"/>
    <s v="P028"/>
    <s v="D006"/>
    <n v="10194"/>
    <d v="2012-11-05T00:00:00"/>
    <n v="86214"/>
    <x v="1"/>
    <d v="1986-07-24T00:00:00"/>
    <s v="Married"/>
    <s v="US Citizen"/>
    <s v="White"/>
    <s v="MA"/>
    <n v="2132"/>
    <m/>
    <s v="N/A-Stillemployed"/>
    <s v="Active"/>
    <x v="1"/>
    <s v="Fully Meets"/>
    <n v="4.2"/>
    <n v="3"/>
    <d v="2019-02-13T00:00:00"/>
    <n v="2"/>
    <x v="3"/>
    <x v="2"/>
    <s v="Alex Sweetwater"/>
    <n v="37"/>
    <x v="0"/>
    <n v="11.416666666666666"/>
    <s v="Neutral"/>
    <x v="3"/>
    <x v="0"/>
  </r>
  <r>
    <s v="Saar-Beckles, Melinda"/>
    <n v="10295"/>
    <s v="P023"/>
    <s v="D004"/>
    <n v="10265"/>
    <d v="2016-07-04T00:00:00"/>
    <n v="47750"/>
    <x v="1"/>
    <d v="1968-06-06T00:00:00"/>
    <s v="Single"/>
    <s v="US Citizen"/>
    <s v="Black or African American"/>
    <s v="MA"/>
    <n v="1801"/>
    <m/>
    <s v="N/A-Stillemployed"/>
    <s v="Active"/>
    <x v="4"/>
    <s v="Needs Improvement"/>
    <n v="2.6"/>
    <n v="4"/>
    <d v="2019-02-18T00:00:00"/>
    <n v="4"/>
    <x v="0"/>
    <x v="0"/>
    <s v="Kelley Spirea"/>
    <n v="55"/>
    <x v="1"/>
    <n v="7.75"/>
    <s v="Satisfied"/>
    <x v="7"/>
    <x v="0"/>
  </r>
  <r>
    <s v="Sadki, Nore  "/>
    <n v="10260"/>
    <s v="P023"/>
    <s v="D004"/>
    <n v="10026"/>
    <d v="2009-01-05T00:00:00"/>
    <n v="46428"/>
    <x v="0"/>
    <d v="1974-12-21T00:00:00"/>
    <s v="Single"/>
    <s v="US Citizen"/>
    <s v="White"/>
    <s v="MA"/>
    <n v="2148"/>
    <d v="2018-07-30T00:00:00"/>
    <s v="Relocation Out Of Area"/>
    <s v="Voluntarily Terminated"/>
    <x v="2"/>
    <s v="Fully Meets"/>
    <n v="4.5999999999999996"/>
    <n v="5"/>
    <d v="2018-02-05T00:00:00"/>
    <n v="7"/>
    <x v="0"/>
    <x v="0"/>
    <s v="Michael Albert"/>
    <n v="49"/>
    <x v="0"/>
    <n v="9.5"/>
    <s v="Very Satisfied"/>
    <x v="6"/>
    <x v="1"/>
  </r>
  <r>
    <s v="Sahoo, Adil"/>
    <n v="10233"/>
    <s v="P024"/>
    <s v="D004"/>
    <n v="10265"/>
    <d v="2010-08-30T00:00:00"/>
    <n v="57975"/>
    <x v="0"/>
    <d v="1986-04-26T00:00:00"/>
    <s v="Married"/>
    <s v="US Citizen"/>
    <s v="White"/>
    <s v="MA"/>
    <n v="2062"/>
    <m/>
    <s v="N/A-Stillemployed"/>
    <s v="Active"/>
    <x v="6"/>
    <s v="Fully Meets"/>
    <n v="4.0999999999999996"/>
    <n v="3"/>
    <d v="2019-01-10T00:00:00"/>
    <n v="13"/>
    <x v="2"/>
    <x v="0"/>
    <s v="Kelley Spirea"/>
    <n v="37"/>
    <x v="0"/>
    <n v="13.583333333333334"/>
    <s v="Neutral"/>
    <x v="8"/>
    <x v="0"/>
  </r>
  <r>
    <s v="Salter, Jason"/>
    <n v="10229"/>
    <s v="P008"/>
    <s v="D003"/>
    <n v="10084"/>
    <d v="2015-01-05T00:00:00"/>
    <n v="88527"/>
    <x v="0"/>
    <d v="1987-12-17T00:00:00"/>
    <s v="Divorced"/>
    <s v="US Citizen"/>
    <s v="Black or African American"/>
    <s v="MA"/>
    <n v="2452"/>
    <d v="2015-10-31T00:00:00"/>
    <s v="Hours"/>
    <s v="Voluntarily Terminated"/>
    <x v="0"/>
    <s v="Fully Meets"/>
    <n v="4.2"/>
    <n v="3"/>
    <d v="2015-04-20T00:00:00"/>
    <n v="2"/>
    <x v="30"/>
    <x v="1"/>
    <s v="Simon Roup"/>
    <n v="36"/>
    <x v="0"/>
    <n v="0.75"/>
    <s v="Neutral"/>
    <x v="1"/>
    <x v="1"/>
  </r>
  <r>
    <s v="Sander, Kamrin"/>
    <n v="10169"/>
    <s v="P023"/>
    <s v="D004"/>
    <n v="10088"/>
    <d v="2014-09-29T00:00:00"/>
    <n v="56147"/>
    <x v="1"/>
    <d v="1988-07-10T00:00:00"/>
    <s v="Married"/>
    <s v="US Citizen"/>
    <s v="Black or African American"/>
    <s v="MA"/>
    <n v="2154"/>
    <m/>
    <s v="N/A-Stillemployed"/>
    <s v="Active"/>
    <x v="0"/>
    <s v="Fully Meets"/>
    <n v="3.51"/>
    <n v="3"/>
    <d v="2019-02-18T00:00:00"/>
    <n v="2"/>
    <x v="0"/>
    <x v="0"/>
    <s v="Elijiah Gray"/>
    <n v="35"/>
    <x v="0"/>
    <n v="9.5"/>
    <s v="Neutral"/>
    <x v="4"/>
    <x v="0"/>
  </r>
  <r>
    <s v="Sewkumar, Nori"/>
    <n v="10071"/>
    <s v="P023"/>
    <s v="D004"/>
    <n v="10069"/>
    <d v="2013-09-30T00:00:00"/>
    <n v="50923"/>
    <x v="1"/>
    <d v="1975-03-10T00:00:00"/>
    <s v="Single"/>
    <s v="US Citizen"/>
    <s v="Asian"/>
    <s v="MA"/>
    <n v="2191"/>
    <m/>
    <s v="N/A-Stillemployed"/>
    <s v="Active"/>
    <x v="2"/>
    <s v="Fully Meets"/>
    <n v="5"/>
    <n v="5"/>
    <d v="2019-02-06T00:00:00"/>
    <n v="14"/>
    <x v="0"/>
    <x v="0"/>
    <s v="Webster Butler"/>
    <n v="49"/>
    <x v="0"/>
    <n v="10.5"/>
    <s v="Very Satisfied"/>
    <x v="5"/>
    <x v="0"/>
  </r>
  <r>
    <s v="Shepard, Anita "/>
    <n v="10179"/>
    <s v="P019"/>
    <s v="D003"/>
    <n v="10250"/>
    <d v="2014-09-30T00:00:00"/>
    <n v="50750"/>
    <x v="1"/>
    <d v="1981-04-14T00:00:00"/>
    <s v="Married"/>
    <s v="US Citizen"/>
    <s v="White"/>
    <s v="MA"/>
    <n v="1773"/>
    <m/>
    <s v="N/A-Stillemployed"/>
    <s v="Active"/>
    <x v="0"/>
    <s v="Fully Meets"/>
    <n v="3.31"/>
    <n v="3"/>
    <d v="2019-01-07T00:00:00"/>
    <n v="7"/>
    <x v="19"/>
    <x v="1"/>
    <s v="Peter Monroe"/>
    <n v="42"/>
    <x v="0"/>
    <n v="9.5"/>
    <s v="Neutral"/>
    <x v="4"/>
    <x v="0"/>
  </r>
  <r>
    <s v="Shields, Seffi"/>
    <n v="10091"/>
    <s v="P023"/>
    <s v="D004"/>
    <n v="10002"/>
    <d v="2013-08-19T00:00:00"/>
    <n v="52087"/>
    <x v="1"/>
    <d v="1985-08-24T00:00:00"/>
    <s v="Married"/>
    <s v="US Citizen"/>
    <s v="White"/>
    <s v="MA"/>
    <n v="2149"/>
    <m/>
    <s v="N/A-Stillemployed"/>
    <s v="Active"/>
    <x v="0"/>
    <s v="Fully Meets"/>
    <n v="4.8099999999999996"/>
    <n v="4"/>
    <d v="2019-02-15T00:00:00"/>
    <n v="15"/>
    <x v="0"/>
    <x v="0"/>
    <s v="Amy Dunn"/>
    <n v="38"/>
    <x v="0"/>
    <n v="10.583333333333334"/>
    <s v="Satisfied"/>
    <x v="5"/>
    <x v="0"/>
  </r>
  <r>
    <s v="Simard, Kramer"/>
    <n v="10178"/>
    <s v="P007"/>
    <s v="D003"/>
    <n v="10084"/>
    <d v="2015-01-05T00:00:00"/>
    <n v="87826"/>
    <x v="0"/>
    <d v="1970-02-08T00:00:00"/>
    <s v="Married"/>
    <s v="US Citizen"/>
    <s v="White"/>
    <s v="MA"/>
    <n v="2110"/>
    <m/>
    <s v="N/A-Stillemployed"/>
    <s v="Active"/>
    <x v="3"/>
    <s v="Fully Meets"/>
    <n v="3.32"/>
    <n v="3"/>
    <d v="2019-01-14T00:00:00"/>
    <n v="16"/>
    <x v="5"/>
    <x v="1"/>
    <s v="Simon Roup"/>
    <n v="54"/>
    <x v="1"/>
    <n v="9.25"/>
    <s v="Neutral"/>
    <x v="1"/>
    <x v="0"/>
  </r>
  <r>
    <s v="Singh, Nan "/>
    <n v="10039"/>
    <s v="P002"/>
    <s v="D001"/>
    <n v="10081"/>
    <d v="2015-05-01T00:00:00"/>
    <n v="51920"/>
    <x v="1"/>
    <d v="1988-05-19T00:00:00"/>
    <s v="Single"/>
    <s v="US Citizen"/>
    <s v="White"/>
    <s v="MA"/>
    <n v="2330"/>
    <m/>
    <s v="N/A-Stillemployed"/>
    <s v="Active"/>
    <x v="7"/>
    <s v="Fully Meets"/>
    <n v="5"/>
    <n v="3"/>
    <d v="2019-01-15T00:00:00"/>
    <n v="2"/>
    <x v="22"/>
    <x v="3"/>
    <s v="Brandon R. LeBlanc"/>
    <n v="35"/>
    <x v="0"/>
    <n v="8.9166666666666661"/>
    <s v="Neutral"/>
    <x v="1"/>
    <x v="0"/>
  </r>
  <r>
    <s v="Sloan, Constance"/>
    <n v="10095"/>
    <s v="P024"/>
    <s v="D004"/>
    <n v="10026"/>
    <d v="2009-10-26T00:00:00"/>
    <n v="63878"/>
    <x v="1"/>
    <d v="1987-11-25T00:00:00"/>
    <s v="Single"/>
    <s v="US Citizen"/>
    <s v="White"/>
    <s v="MA"/>
    <n v="1851"/>
    <d v="2015-04-08T00:00:00"/>
    <s v="Maternity Leave - Did Not Return"/>
    <s v="Voluntarily Terminated"/>
    <x v="6"/>
    <s v="Fully Meets"/>
    <n v="4.68"/>
    <n v="4"/>
    <d v="2015-04-02T00:00:00"/>
    <n v="20"/>
    <x v="2"/>
    <x v="0"/>
    <s v="Michael Albert"/>
    <n v="36"/>
    <x v="0"/>
    <n v="5.416666666666667"/>
    <s v="Satisfied"/>
    <x v="6"/>
    <x v="1"/>
  </r>
  <r>
    <s v="Smith, Joe"/>
    <n v="10027"/>
    <s v="P024"/>
    <s v="D004"/>
    <n v="10088"/>
    <d v="2014-09-29T00:00:00"/>
    <n v="60656"/>
    <x v="0"/>
    <d v="1963-10-30T00:00:00"/>
    <s v="Single"/>
    <s v="US Citizen"/>
    <s v="White"/>
    <s v="MA"/>
    <n v="2045"/>
    <m/>
    <s v="N/A-Stillemployed"/>
    <s v="Active"/>
    <x v="1"/>
    <s v="Exceeds"/>
    <n v="4.3"/>
    <n v="3"/>
    <d v="2019-01-28T00:00:00"/>
    <n v="4"/>
    <x v="2"/>
    <x v="0"/>
    <s v="Elijiah Gray"/>
    <n v="60"/>
    <x v="2"/>
    <n v="9.5"/>
    <s v="Neutral"/>
    <x v="4"/>
    <x v="0"/>
  </r>
  <r>
    <s v="Smith, John"/>
    <n v="10291"/>
    <s v="P025"/>
    <s v="D005"/>
    <n v="10099"/>
    <d v="2014-05-18T00:00:00"/>
    <n v="72992"/>
    <x v="0"/>
    <d v="1984-08-16T00:00:00"/>
    <s v="Divorced"/>
    <s v="US Citizen"/>
    <s v="Black or African American"/>
    <s v="MA"/>
    <n v="1886"/>
    <m/>
    <s v="N/A-Stillemployed"/>
    <s v="Active"/>
    <x v="4"/>
    <s v="Needs Improvement"/>
    <n v="2.4"/>
    <n v="4"/>
    <d v="2019-01-16T00:00:00"/>
    <n v="16"/>
    <x v="16"/>
    <x v="4"/>
    <s v="Debra Houlihan"/>
    <n v="39"/>
    <x v="0"/>
    <n v="9.8333333333333339"/>
    <s v="Satisfied"/>
    <x v="4"/>
    <x v="0"/>
  </r>
  <r>
    <s v="Smith, Leigh Ann"/>
    <n v="10153"/>
    <s v="P002"/>
    <s v="D001"/>
    <n v="10081"/>
    <d v="2011-09-26T00:00:00"/>
    <n v="55000"/>
    <x v="1"/>
    <d v="1987-06-14T00:00:00"/>
    <s v="Married"/>
    <s v="US Citizen"/>
    <s v="Black or African American"/>
    <s v="MA"/>
    <n v="1844"/>
    <d v="2013-09-25T00:00:00"/>
    <s v="Career Change"/>
    <s v="Voluntarily Terminated"/>
    <x v="4"/>
    <s v="Fully Meets"/>
    <n v="3.8"/>
    <n v="4"/>
    <d v="2013-08-15T00:00:00"/>
    <n v="17"/>
    <x v="22"/>
    <x v="3"/>
    <s v="Brandon R. LeBlanc"/>
    <n v="36"/>
    <x v="0"/>
    <n v="1.9166666666666667"/>
    <s v="Satisfied"/>
    <x v="0"/>
    <x v="1"/>
  </r>
  <r>
    <s v="Smith, Sade"/>
    <n v="10157"/>
    <s v="P023"/>
    <s v="D004"/>
    <n v="10062"/>
    <d v="2013-11-11T00:00:00"/>
    <n v="58939"/>
    <x v="1"/>
    <d v="1965-02-02T00:00:00"/>
    <s v="Single"/>
    <s v="US Citizen"/>
    <s v="White"/>
    <s v="MA"/>
    <n v="2130"/>
    <m/>
    <s v="N/A-Stillemployed"/>
    <s v="Active"/>
    <x v="3"/>
    <s v="Fully Meets"/>
    <n v="3.73"/>
    <n v="3"/>
    <d v="2019-01-24T00:00:00"/>
    <n v="16"/>
    <x v="0"/>
    <x v="0"/>
    <s v="Ketsia Liebig"/>
    <n v="59"/>
    <x v="1"/>
    <n v="10.333333333333334"/>
    <s v="Neutral"/>
    <x v="5"/>
    <x v="0"/>
  </r>
  <r>
    <s v="Soto, Julia "/>
    <n v="10119"/>
    <s v="P018"/>
    <s v="D003"/>
    <n v="10220"/>
    <d v="2011-06-10T00:00:00"/>
    <n v="66593"/>
    <x v="1"/>
    <d v="1973-03-12T00:00:00"/>
    <s v="Married"/>
    <s v="US Citizen"/>
    <s v="Black or African American"/>
    <s v="MA"/>
    <n v="2360"/>
    <m/>
    <s v="N/A-Stillemployed"/>
    <s v="Active"/>
    <x v="0"/>
    <s v="Fully Meets"/>
    <n v="4.3"/>
    <n v="3"/>
    <d v="2019-02-08T00:00:00"/>
    <n v="19"/>
    <x v="4"/>
    <x v="1"/>
    <s v="Eric Dougall"/>
    <n v="51"/>
    <x v="1"/>
    <n v="12.75"/>
    <s v="Neutral"/>
    <x v="0"/>
    <x v="0"/>
  </r>
  <r>
    <s v="Soze, Keyser"/>
    <n v="10180"/>
    <s v="P032"/>
    <s v="D003"/>
    <n v="10250"/>
    <d v="2016-06-30T00:00:00"/>
    <n v="87565"/>
    <x v="0"/>
    <d v="1983-02-09T00:00:00"/>
    <s v="Married"/>
    <s v="US Citizen"/>
    <s v="Asian"/>
    <s v="MA"/>
    <n v="1545"/>
    <m/>
    <s v="N/A-Stillemployed"/>
    <s v="Active"/>
    <x v="0"/>
    <s v="Fully Meets"/>
    <n v="3.27"/>
    <n v="4"/>
    <d v="2019-01-14T00:00:00"/>
    <n v="13"/>
    <x v="15"/>
    <x v="1"/>
    <s v="Peter Monroe"/>
    <n v="41"/>
    <x v="0"/>
    <n v="7.75"/>
    <s v="Satisfied"/>
    <x v="7"/>
    <x v="0"/>
  </r>
  <r>
    <s v="Sparks, Taylor  "/>
    <n v="10302"/>
    <s v="P023"/>
    <s v="D004"/>
    <n v="10114"/>
    <d v="2012-02-20T00:00:00"/>
    <n v="64021"/>
    <x v="1"/>
    <d v="1968-07-20T00:00:00"/>
    <s v="Married"/>
    <s v="US Citizen"/>
    <s v="White"/>
    <s v="MA"/>
    <n v="2093"/>
    <m/>
    <s v="N/A-Stillemployed"/>
    <s v="Active"/>
    <x v="1"/>
    <s v="PIP"/>
    <n v="2.4"/>
    <n v="2"/>
    <d v="2019-02-25T00:00:00"/>
    <n v="20"/>
    <x v="0"/>
    <x v="0"/>
    <s v="Brannon Miller"/>
    <n v="55"/>
    <x v="1"/>
    <n v="12.083333333333334"/>
    <s v="Dissatisfied"/>
    <x v="3"/>
    <x v="0"/>
  </r>
  <r>
    <s v="Spirea, Kelley"/>
    <n v="10090"/>
    <s v="P022"/>
    <s v="D004"/>
    <n v="10175"/>
    <d v="2012-10-02T00:00:00"/>
    <n v="65714"/>
    <x v="1"/>
    <d v="1975-09-30T00:00:00"/>
    <s v="Married"/>
    <s v="US Citizen"/>
    <s v="White"/>
    <s v="MA"/>
    <n v="2451"/>
    <m/>
    <s v="N/A-Stillemployed"/>
    <s v="Active"/>
    <x v="0"/>
    <s v="Fully Meets"/>
    <n v="4.83"/>
    <n v="5"/>
    <d v="2019-02-14T00:00:00"/>
    <n v="15"/>
    <x v="9"/>
    <x v="0"/>
    <s v="Janet King"/>
    <n v="48"/>
    <x v="0"/>
    <n v="11.5"/>
    <s v="Very Satisfied"/>
    <x v="3"/>
    <x v="0"/>
  </r>
  <r>
    <s v="Squatrito, Kristen"/>
    <n v="10030"/>
    <s v="P023"/>
    <s v="D004"/>
    <n v="10252"/>
    <d v="2013-05-13T00:00:00"/>
    <n v="62425"/>
    <x v="1"/>
    <d v="1973-03-26T00:00:00"/>
    <s v="Divorced"/>
    <s v="US Citizen"/>
    <s v="White"/>
    <s v="MA"/>
    <n v="2359"/>
    <d v="2015-06-29T00:00:00"/>
    <s v="Unhappy"/>
    <s v="Voluntarily Terminated"/>
    <x v="0"/>
    <s v="Exceeds"/>
    <n v="4.0999999999999996"/>
    <n v="4"/>
    <d v="2015-03-02T00:00:00"/>
    <n v="16"/>
    <x v="0"/>
    <x v="0"/>
    <s v="David Stanley"/>
    <n v="51"/>
    <x v="1"/>
    <n v="2.0833333333333335"/>
    <s v="Satisfied"/>
    <x v="5"/>
    <x v="1"/>
  </r>
  <r>
    <s v="Stanford,Barbara  M"/>
    <n v="10278"/>
    <s v="P023"/>
    <s v="D004"/>
    <n v="10196"/>
    <d v="2011-01-10T00:00:00"/>
    <n v="47961"/>
    <x v="1"/>
    <d v="1982-08-25T00:00:00"/>
    <s v="Divorced"/>
    <s v="US Citizen"/>
    <s v="Two or more races"/>
    <s v="MA"/>
    <n v="2050"/>
    <m/>
    <s v="N/A-Stillemployed"/>
    <s v="Active"/>
    <x v="2"/>
    <s v="Fully Meets"/>
    <n v="4.0999999999999996"/>
    <n v="4"/>
    <d v="2019-02-07T00:00:00"/>
    <n v="9"/>
    <x v="0"/>
    <x v="0"/>
    <s v="Kissy Sullivan"/>
    <n v="41"/>
    <x v="0"/>
    <n v="13.166666666666666"/>
    <s v="Satisfied"/>
    <x v="0"/>
    <x v="0"/>
  </r>
  <r>
    <s v="Stansfield, Norman"/>
    <n v="10307"/>
    <s v="P003"/>
    <s v="D005"/>
    <n v="10200"/>
    <d v="2014-05-12T00:00:00"/>
    <n v="58273"/>
    <x v="0"/>
    <d v="1974-05-09T00:00:00"/>
    <s v="Married"/>
    <s v="US Citizen"/>
    <s v="White"/>
    <s v="NV"/>
    <n v="89139"/>
    <m/>
    <s v="N/A-Stillemployed"/>
    <s v="Active"/>
    <x v="7"/>
    <s v="PIP"/>
    <n v="1.81"/>
    <n v="2"/>
    <d v="2019-01-17T00:00:00"/>
    <n v="5"/>
    <x v="11"/>
    <x v="4"/>
    <s v="Lynn Daneault"/>
    <n v="49"/>
    <x v="0"/>
    <n v="9.8333333333333339"/>
    <s v="Dissatisfied"/>
    <x v="4"/>
    <x v="0"/>
  </r>
  <r>
    <s v="Steans, Tyrone  "/>
    <n v="10147"/>
    <s v="P001"/>
    <s v="D001"/>
    <n v="10081"/>
    <d v="2014-09-29T00:00:00"/>
    <n v="63003"/>
    <x v="0"/>
    <d v="1986-09-01T00:00:00"/>
    <s v="Single"/>
    <s v="US Citizen"/>
    <s v="White"/>
    <s v="MA"/>
    <n v="2703"/>
    <m/>
    <s v="N/A-Stillemployed"/>
    <s v="Active"/>
    <x v="1"/>
    <s v="Fully Meets"/>
    <n v="3.9"/>
    <n v="5"/>
    <d v="2019-01-18T00:00:00"/>
    <n v="9"/>
    <x v="10"/>
    <x v="3"/>
    <s v="Brandon R. LeBlanc"/>
    <n v="37"/>
    <x v="0"/>
    <n v="9.5"/>
    <s v="Very Satisfied"/>
    <x v="4"/>
    <x v="0"/>
  </r>
  <r>
    <s v="Stoica, Rick"/>
    <n v="10266"/>
    <s v="P023"/>
    <s v="D004"/>
    <n v="10265"/>
    <d v="2014-02-17T00:00:00"/>
    <n v="61355"/>
    <x v="0"/>
    <d v="1985-03-14T00:00:00"/>
    <s v="Married"/>
    <s v="US Citizen"/>
    <s v="Asian"/>
    <s v="MA"/>
    <n v="2301"/>
    <m/>
    <s v="N/A-Stillemployed"/>
    <s v="Active"/>
    <x v="0"/>
    <s v="Fully Meets"/>
    <n v="4.7"/>
    <n v="3"/>
    <d v="2019-01-11T00:00:00"/>
    <n v="4"/>
    <x v="0"/>
    <x v="0"/>
    <s v="Kelley Spirea"/>
    <n v="39"/>
    <x v="0"/>
    <n v="10.083333333333334"/>
    <s v="Neutral"/>
    <x v="4"/>
    <x v="0"/>
  </r>
  <r>
    <s v="Strong, Caitrin"/>
    <n v="10241"/>
    <s v="P003"/>
    <s v="D005"/>
    <n v="10188"/>
    <d v="2010-09-27T00:00:00"/>
    <n v="60120"/>
    <x v="1"/>
    <d v="1989-05-12T00:00:00"/>
    <s v="Married"/>
    <s v="US Citizen"/>
    <s v="Black or African American"/>
    <s v="MT"/>
    <n v="59102"/>
    <m/>
    <s v="N/A-Stillemployed"/>
    <s v="Active"/>
    <x v="1"/>
    <s v="Fully Meets"/>
    <n v="4.0999999999999996"/>
    <n v="4"/>
    <d v="2019-01-31T00:00:00"/>
    <n v="18"/>
    <x v="11"/>
    <x v="4"/>
    <s v="John Smith"/>
    <n v="34"/>
    <x v="0"/>
    <n v="13.5"/>
    <s v="Satisfied"/>
    <x v="8"/>
    <x v="0"/>
  </r>
  <r>
    <s v="Sullivan, Kissy "/>
    <n v="10158"/>
    <s v="P022"/>
    <s v="D004"/>
    <n v="10175"/>
    <d v="2009-01-08T00:00:00"/>
    <n v="63682"/>
    <x v="1"/>
    <d v="1978-03-28T00:00:00"/>
    <s v="Married"/>
    <s v="US Citizen"/>
    <s v="Black or African American"/>
    <s v="MA"/>
    <n v="1776"/>
    <m/>
    <s v="N/A-Stillemployed"/>
    <s v="Active"/>
    <x v="1"/>
    <s v="Fully Meets"/>
    <n v="3.73"/>
    <n v="4"/>
    <d v="2019-01-24T00:00:00"/>
    <n v="12"/>
    <x v="9"/>
    <x v="0"/>
    <s v="Janet King"/>
    <n v="46"/>
    <x v="0"/>
    <n v="15.25"/>
    <s v="Satisfied"/>
    <x v="6"/>
    <x v="0"/>
  </r>
  <r>
    <s v="Sullivan, Timothy"/>
    <n v="10117"/>
    <s v="P023"/>
    <s v="D004"/>
    <n v="10026"/>
    <d v="2015-01-05T00:00:00"/>
    <n v="63025"/>
    <x v="0"/>
    <d v="1982-10-07T00:00:00"/>
    <s v="Married"/>
    <s v="US Citizen"/>
    <s v="White"/>
    <s v="MA"/>
    <n v="2747"/>
    <m/>
    <s v="N/A-Stillemployed"/>
    <s v="Active"/>
    <x v="2"/>
    <s v="Fully Meets"/>
    <n v="4.3600000000000003"/>
    <n v="5"/>
    <d v="2019-01-24T00:00:00"/>
    <n v="10"/>
    <x v="0"/>
    <x v="0"/>
    <s v="Michael Albert"/>
    <n v="41"/>
    <x v="0"/>
    <n v="9.25"/>
    <s v="Very Satisfied"/>
    <x v="1"/>
    <x v="0"/>
  </r>
  <r>
    <s v="Sutwell, Barbara"/>
    <n v="10209"/>
    <s v="P023"/>
    <s v="D004"/>
    <n v="10088"/>
    <d v="2012-05-14T00:00:00"/>
    <n v="59238"/>
    <x v="1"/>
    <d v="1968-08-15T00:00:00"/>
    <s v="Single"/>
    <s v="Eligible NonCitizen"/>
    <s v="Asian"/>
    <s v="MA"/>
    <n v="2718"/>
    <m/>
    <s v="N/A-Stillemployed"/>
    <s v="Active"/>
    <x v="1"/>
    <s v="Fully Meets"/>
    <n v="3.4"/>
    <n v="5"/>
    <d v="2019-01-31T00:00:00"/>
    <n v="13"/>
    <x v="0"/>
    <x v="0"/>
    <s v="Elijiah Gray"/>
    <n v="55"/>
    <x v="1"/>
    <n v="11.833333333333334"/>
    <s v="Very Satisfied"/>
    <x v="3"/>
    <x v="0"/>
  </r>
  <r>
    <s v="Szabo, Andrew"/>
    <n v="10024"/>
    <s v="P028"/>
    <s v="D006"/>
    <n v="10194"/>
    <d v="2014-07-07T00:00:00"/>
    <n v="92989"/>
    <x v="0"/>
    <d v="1983-05-06T00:00:00"/>
    <s v="Single"/>
    <s v="US Citizen"/>
    <s v="White"/>
    <s v="MA"/>
    <n v="2140"/>
    <m/>
    <s v="N/A-Stillemployed"/>
    <s v="Active"/>
    <x v="0"/>
    <s v="Exceeds"/>
    <n v="4.5"/>
    <n v="5"/>
    <d v="2019-02-18T00:00:00"/>
    <n v="1"/>
    <x v="3"/>
    <x v="2"/>
    <s v="Alex Sweetwater"/>
    <n v="40"/>
    <x v="0"/>
    <n v="9.75"/>
    <s v="Very Satisfied"/>
    <x v="4"/>
    <x v="0"/>
  </r>
  <r>
    <s v="Tannen, Biff"/>
    <n v="10173"/>
    <s v="P004"/>
    <s v="D003"/>
    <n v="10197"/>
    <d v="2017-04-20T00:00:00"/>
    <n v="90100"/>
    <x v="0"/>
    <d v="1987-10-24T00:00:00"/>
    <s v="Married"/>
    <s v="US Citizen"/>
    <s v="White"/>
    <s v="MA"/>
    <n v="2134"/>
    <m/>
    <s v="N/A-Stillemployed"/>
    <s v="Active"/>
    <x v="1"/>
    <s v="Fully Meets"/>
    <n v="3.4"/>
    <n v="3"/>
    <d v="2019-01-02T00:00:00"/>
    <n v="14"/>
    <x v="17"/>
    <x v="1"/>
    <s v="Brian Champaigne"/>
    <n v="36"/>
    <x v="0"/>
    <n v="6.916666666666667"/>
    <s v="Neutral"/>
    <x v="10"/>
    <x v="0"/>
  </r>
  <r>
    <s v="Tavares, Desiree  "/>
    <n v="10221"/>
    <s v="P023"/>
    <s v="D004"/>
    <n v="10069"/>
    <d v="2009-04-27T00:00:00"/>
    <n v="60754"/>
    <x v="1"/>
    <d v="1975-04-03T00:00:00"/>
    <s v="Married"/>
    <s v="Non-Citizen"/>
    <s v="Black or African American"/>
    <s v="MA"/>
    <n v="1801"/>
    <d v="2013-04-01T00:00:00"/>
    <s v="Another Position"/>
    <s v="Voluntarily Terminated"/>
    <x v="4"/>
    <s v="Fully Meets"/>
    <n v="4.5"/>
    <n v="5"/>
    <d v="2012-02-15T00:00:00"/>
    <n v="11"/>
    <x v="0"/>
    <x v="0"/>
    <s v="Webster Butler"/>
    <n v="49"/>
    <x v="0"/>
    <n v="3.9166666666666665"/>
    <s v="Very Satisfied"/>
    <x v="6"/>
    <x v="1"/>
  </r>
  <r>
    <s v="Tejeda, Lenora "/>
    <n v="10146"/>
    <s v="P024"/>
    <s v="D004"/>
    <n v="10088"/>
    <d v="2011-05-16T00:00:00"/>
    <n v="72202"/>
    <x v="1"/>
    <d v="1953-05-24T00:00:00"/>
    <s v="Married"/>
    <s v="US Citizen"/>
    <s v="White"/>
    <s v="MA"/>
    <n v="2129"/>
    <d v="2017-07-08T00:00:00"/>
    <s v="Another Position"/>
    <s v="Voluntarily Terminated"/>
    <x v="2"/>
    <s v="Fully Meets"/>
    <n v="3.93"/>
    <n v="3"/>
    <d v="2017-04-18T00:00:00"/>
    <n v="3"/>
    <x v="2"/>
    <x v="0"/>
    <s v="Elijiah Gray"/>
    <n v="70"/>
    <x v="2"/>
    <n v="6.083333333333333"/>
    <s v="Neutral"/>
    <x v="0"/>
    <x v="1"/>
  </r>
  <r>
    <s v="Terry, Sharlene "/>
    <n v="10161"/>
    <s v="P003"/>
    <s v="D005"/>
    <n v="10200"/>
    <d v="2014-09-29T00:00:00"/>
    <n v="58370"/>
    <x v="1"/>
    <d v="1965-05-07T00:00:00"/>
    <s v="Single"/>
    <s v="US Citizen"/>
    <s v="Black or African American"/>
    <s v="OR"/>
    <n v="97756"/>
    <m/>
    <s v="N/A-Stillemployed"/>
    <s v="Active"/>
    <x v="1"/>
    <s v="Fully Meets"/>
    <n v="3.69"/>
    <n v="3"/>
    <d v="2019-01-28T00:00:00"/>
    <n v="18"/>
    <x v="11"/>
    <x v="4"/>
    <s v="Lynn Daneault"/>
    <n v="58"/>
    <x v="1"/>
    <n v="9.5"/>
    <s v="Neutral"/>
    <x v="4"/>
    <x v="0"/>
  </r>
  <r>
    <s v="Theamstern, Sophia"/>
    <n v="10141"/>
    <s v="P023"/>
    <s v="D004"/>
    <n v="10002"/>
    <d v="2011-07-05T00:00:00"/>
    <n v="48413"/>
    <x v="1"/>
    <d v="1965-05-09T00:00:00"/>
    <s v="Single"/>
    <s v="US Citizen"/>
    <s v="White"/>
    <s v="MA"/>
    <n v="2066"/>
    <d v="2016-09-05T00:00:00"/>
    <s v="Return To School"/>
    <s v="Voluntarily Terminated"/>
    <x v="1"/>
    <s v="Fully Meets"/>
    <n v="3.98"/>
    <n v="4"/>
    <d v="2016-03-02T00:00:00"/>
    <n v="1"/>
    <x v="0"/>
    <x v="0"/>
    <s v="Amy Dunn"/>
    <n v="58"/>
    <x v="1"/>
    <n v="5.166666666666667"/>
    <s v="Satisfied"/>
    <x v="0"/>
    <x v="1"/>
  </r>
  <r>
    <s v="Thibaud, Kenneth"/>
    <n v="10268"/>
    <s v="P024"/>
    <s v="D004"/>
    <n v="10069"/>
    <d v="2007-06-25T00:00:00"/>
    <n v="67176"/>
    <x v="0"/>
    <d v="1975-09-16T00:00:00"/>
    <s v="Widowed"/>
    <s v="US Citizen"/>
    <s v="White"/>
    <s v="MA"/>
    <n v="2472"/>
    <d v="2010-08-30T00:00:00"/>
    <s v="Military"/>
    <s v="Voluntarily Terminated"/>
    <x v="8"/>
    <s v="Fully Meets"/>
    <n v="4.0999999999999996"/>
    <n v="4"/>
    <d v="2010-07-14T00:00:00"/>
    <n v="15"/>
    <x v="2"/>
    <x v="0"/>
    <s v="Webster Butler"/>
    <n v="48"/>
    <x v="0"/>
    <n v="3.1666666666666665"/>
    <s v="Satisfied"/>
    <x v="11"/>
    <x v="1"/>
  </r>
  <r>
    <s v="Tippett, Jeanette"/>
    <n v="10123"/>
    <s v="P023"/>
    <s v="D004"/>
    <n v="10114"/>
    <d v="2013-02-18T00:00:00"/>
    <n v="56339"/>
    <x v="1"/>
    <d v="1967-06-05T00:00:00"/>
    <s v="Divorced"/>
    <s v="US Citizen"/>
    <s v="Black or African American"/>
    <s v="MA"/>
    <n v="2093"/>
    <m/>
    <s v="N/A-Stillemployed"/>
    <s v="Active"/>
    <x v="1"/>
    <s v="Fully Meets"/>
    <n v="4.21"/>
    <n v="5"/>
    <d v="2019-01-14T00:00:00"/>
    <n v="4"/>
    <x v="0"/>
    <x v="0"/>
    <s v="Brannon Miller"/>
    <n v="56"/>
    <x v="1"/>
    <n v="11.083333333333334"/>
    <s v="Very Satisfied"/>
    <x v="5"/>
    <x v="0"/>
  </r>
  <r>
    <s v="Torrence, Jack"/>
    <n v="10013"/>
    <s v="P003"/>
    <s v="D005"/>
    <n v="10200"/>
    <d v="2006-01-09T00:00:00"/>
    <n v="64397"/>
    <x v="0"/>
    <d v="1968-01-15T00:00:00"/>
    <s v="Separated"/>
    <s v="US Citizen"/>
    <s v="White"/>
    <s v="ND"/>
    <n v="58782"/>
    <m/>
    <s v="N/A-Stillemployed"/>
    <s v="Active"/>
    <x v="1"/>
    <s v="Exceeds"/>
    <n v="4.0999999999999996"/>
    <n v="3"/>
    <d v="2019-01-04T00:00:00"/>
    <n v="6"/>
    <x v="11"/>
    <x v="4"/>
    <s v="Lynn Daneault"/>
    <n v="56"/>
    <x v="1"/>
    <n v="18.25"/>
    <s v="Neutral"/>
    <x v="12"/>
    <x v="0"/>
  </r>
  <r>
    <s v="Trang, Mei"/>
    <n v="10287"/>
    <s v="P023"/>
    <s v="D004"/>
    <n v="10252"/>
    <d v="2014-02-17T00:00:00"/>
    <n v="63025"/>
    <x v="1"/>
    <d v="1983-05-16T00:00:00"/>
    <s v="Single"/>
    <s v="US Citizen"/>
    <s v="White"/>
    <s v="MA"/>
    <n v="2021"/>
    <m/>
    <s v="N/A-Stillemployed"/>
    <s v="Active"/>
    <x v="0"/>
    <s v="Needs Improvement"/>
    <n v="2.44"/>
    <n v="5"/>
    <d v="2019-02-11T00:00:00"/>
    <n v="18"/>
    <x v="0"/>
    <x v="0"/>
    <s v="David Stanley"/>
    <n v="40"/>
    <x v="0"/>
    <n v="10.083333333333334"/>
    <s v="Very Satisfied"/>
    <x v="4"/>
    <x v="0"/>
  </r>
  <r>
    <s v="Tredinnick, Neville "/>
    <n v="10044"/>
    <s v="P019"/>
    <s v="D003"/>
    <n v="10250"/>
    <d v="2015-01-05T00:00:00"/>
    <n v="75281"/>
    <x v="0"/>
    <d v="1988-05-05T00:00:00"/>
    <s v="Married"/>
    <s v="US Citizen"/>
    <s v="White"/>
    <s v="MA"/>
    <n v="1420"/>
    <d v="2016-02-12T00:00:00"/>
    <s v="Medical Issues"/>
    <s v="Voluntarily Terminated"/>
    <x v="6"/>
    <s v="Fully Meets"/>
    <n v="5"/>
    <n v="3"/>
    <d v="2015-04-15T00:00:00"/>
    <n v="11"/>
    <x v="19"/>
    <x v="1"/>
    <s v="Peter Monroe"/>
    <n v="35"/>
    <x v="0"/>
    <n v="1.0833333333333333"/>
    <s v="Neutral"/>
    <x v="1"/>
    <x v="1"/>
  </r>
  <r>
    <s v="True, Edward"/>
    <n v="10102"/>
    <s v="P028"/>
    <s v="D006"/>
    <n v="10194"/>
    <d v="2013-02-18T00:00:00"/>
    <n v="100416"/>
    <x v="0"/>
    <d v="1983-06-14T00:00:00"/>
    <s v="Single"/>
    <s v="Non-Citizen"/>
    <s v="Black or African American"/>
    <s v="MA"/>
    <n v="2451"/>
    <d v="2018-04-15T00:00:00"/>
    <s v="Medical Issues"/>
    <s v="Voluntarily Terminated"/>
    <x v="4"/>
    <s v="Fully Meets"/>
    <n v="4.5999999999999996"/>
    <n v="3"/>
    <d v="2017-02-12T00:00:00"/>
    <n v="9"/>
    <x v="3"/>
    <x v="2"/>
    <s v="Alex Sweetwater"/>
    <n v="40"/>
    <x v="0"/>
    <n v="5.083333333333333"/>
    <s v="Neutral"/>
    <x v="5"/>
    <x v="1"/>
  </r>
  <r>
    <s v="Trzeciak, Cybil"/>
    <n v="10270"/>
    <s v="P024"/>
    <s v="D004"/>
    <n v="10002"/>
    <d v="2011-01-10T00:00:00"/>
    <n v="74813"/>
    <x v="1"/>
    <d v="1985-03-15T00:00:00"/>
    <s v="Single"/>
    <s v="US Citizen"/>
    <s v="White"/>
    <s v="MA"/>
    <n v="1778"/>
    <d v="2014-07-02T00:00:00"/>
    <s v="Unhappy"/>
    <s v="Voluntarily Terminated"/>
    <x v="0"/>
    <s v="Fully Meets"/>
    <n v="4.4000000000000004"/>
    <n v="3"/>
    <d v="2014-01-05T00:00:00"/>
    <n v="5"/>
    <x v="2"/>
    <x v="0"/>
    <s v="Amy Dunn"/>
    <n v="39"/>
    <x v="0"/>
    <n v="3.4166666666666665"/>
    <s v="Neutral"/>
    <x v="0"/>
    <x v="1"/>
  </r>
  <r>
    <s v="Turpin, Jumil"/>
    <n v="10045"/>
    <s v="P019"/>
    <s v="D003"/>
    <n v="10250"/>
    <d v="2015-03-30T00:00:00"/>
    <n v="76029"/>
    <x v="0"/>
    <d v="1969-03-31T00:00:00"/>
    <s v="Married"/>
    <s v="Eligible NonCitizen"/>
    <s v="White"/>
    <s v="MA"/>
    <n v="2343"/>
    <m/>
    <s v="N/A-Stillemployed"/>
    <s v="Active"/>
    <x v="3"/>
    <s v="Fully Meets"/>
    <n v="5"/>
    <n v="4"/>
    <d v="2019-01-14T00:00:00"/>
    <n v="8"/>
    <x v="19"/>
    <x v="1"/>
    <s v="Peter Monroe"/>
    <n v="55"/>
    <x v="1"/>
    <n v="9"/>
    <s v="Satisfied"/>
    <x v="1"/>
    <x v="0"/>
  </r>
  <r>
    <s v="Valentin,Jackie"/>
    <n v="10205"/>
    <s v="P003"/>
    <s v="D005"/>
    <n v="10188"/>
    <d v="2011-07-05T00:00:00"/>
    <n v="57859"/>
    <x v="1"/>
    <d v="1991-05-23T00:00:00"/>
    <s v="Married"/>
    <s v="US Citizen"/>
    <s v="Two or more races"/>
    <s v="AZ"/>
    <n v="85006"/>
    <m/>
    <s v="N/A-Stillemployed"/>
    <s v="Active"/>
    <x v="1"/>
    <s v="Fully Meets"/>
    <n v="2.81"/>
    <n v="3"/>
    <d v="2019-01-17T00:00:00"/>
    <n v="16"/>
    <x v="11"/>
    <x v="4"/>
    <s v="John Smith"/>
    <n v="32"/>
    <x v="0"/>
    <n v="12.75"/>
    <s v="Neutral"/>
    <x v="0"/>
    <x v="0"/>
  </r>
  <r>
    <s v="Veera, Abdellah "/>
    <n v="10014"/>
    <s v="P023"/>
    <s v="D004"/>
    <n v="10196"/>
    <d v="2012-08-13T00:00:00"/>
    <n v="58523"/>
    <x v="0"/>
    <d v="1987-01-31T00:00:00"/>
    <s v="Divorced"/>
    <s v="US Citizen"/>
    <s v="White"/>
    <s v="MA"/>
    <n v="2171"/>
    <d v="2016-02-05T00:00:00"/>
    <s v="Maternity Leave - Did Not Return"/>
    <s v="Voluntarily Terminated"/>
    <x v="0"/>
    <s v="Exceeds"/>
    <n v="4.5"/>
    <n v="5"/>
    <d v="2016-02-01T00:00:00"/>
    <n v="15"/>
    <x v="0"/>
    <x v="0"/>
    <s v="Kissy Sullivan"/>
    <n v="37"/>
    <x v="0"/>
    <n v="3.4166666666666665"/>
    <s v="Very Satisfied"/>
    <x v="3"/>
    <x v="1"/>
  </r>
  <r>
    <s v="Vega, Vincent"/>
    <n v="10144"/>
    <s v="P022"/>
    <s v="D004"/>
    <n v="10175"/>
    <d v="2011-08-01T00:00:00"/>
    <n v="88976"/>
    <x v="0"/>
    <d v="1968-10-10T00:00:00"/>
    <s v="Divorced"/>
    <s v="US Citizen"/>
    <s v="White"/>
    <s v="MA"/>
    <n v="2169"/>
    <m/>
    <s v="N/A-Stillemployed"/>
    <s v="Active"/>
    <x v="3"/>
    <s v="Fully Meets"/>
    <n v="3.93"/>
    <n v="3"/>
    <d v="2019-02-27T00:00:00"/>
    <n v="19"/>
    <x v="9"/>
    <x v="0"/>
    <s v="Janet King"/>
    <n v="55"/>
    <x v="1"/>
    <n v="12.666666666666666"/>
    <s v="Neutral"/>
    <x v="0"/>
    <x v="0"/>
  </r>
  <r>
    <s v="Villanueva, Noah"/>
    <n v="10253"/>
    <s v="P003"/>
    <s v="D005"/>
    <n v="10188"/>
    <d v="2012-03-05T00:00:00"/>
    <n v="55875"/>
    <x v="0"/>
    <d v="1989-07-11T00:00:00"/>
    <s v="Single"/>
    <s v="US Citizen"/>
    <s v="Asian"/>
    <s v="ME"/>
    <n v="4063"/>
    <m/>
    <s v="N/A-Stillemployed"/>
    <s v="Active"/>
    <x v="7"/>
    <s v="Fully Meets"/>
    <n v="4.5"/>
    <n v="4"/>
    <d v="2019-01-18T00:00:00"/>
    <n v="11"/>
    <x v="11"/>
    <x v="4"/>
    <s v="John Smith"/>
    <n v="34"/>
    <x v="0"/>
    <n v="12.083333333333334"/>
    <s v="Satisfied"/>
    <x v="3"/>
    <x v="0"/>
  </r>
  <r>
    <s v="Voldemort, Lord"/>
    <n v="10118"/>
    <s v="P010"/>
    <s v="D003"/>
    <n v="10084"/>
    <d v="2015-02-16T00:00:00"/>
    <n v="113999"/>
    <x v="0"/>
    <d v="1986-08-07T00:00:00"/>
    <s v="Married"/>
    <s v="US Citizen"/>
    <s v="Black or African American"/>
    <s v="MA"/>
    <n v="1960"/>
    <d v="2017-02-22T00:00:00"/>
    <s v="No-Call, No-Show"/>
    <s v="Terminated for Cause"/>
    <x v="3"/>
    <s v="Fully Meets"/>
    <n v="4.33"/>
    <n v="3"/>
    <d v="2017-02-15T00:00:00"/>
    <n v="9"/>
    <x v="6"/>
    <x v="1"/>
    <s v="Simon Roup"/>
    <n v="37"/>
    <x v="0"/>
    <n v="2"/>
    <s v="Neutral"/>
    <x v="1"/>
    <x v="1"/>
  </r>
  <r>
    <s v="Volk, Colleen"/>
    <n v="10022"/>
    <s v="P023"/>
    <s v="D004"/>
    <n v="10265"/>
    <d v="2011-09-26T00:00:00"/>
    <n v="49773"/>
    <x v="1"/>
    <d v="1986-06-03T00:00:00"/>
    <s v="Married"/>
    <s v="US Citizen"/>
    <s v="White"/>
    <s v="MA"/>
    <n v="2747"/>
    <d v="2016-02-08T00:00:00"/>
    <s v="Gross Misconduct"/>
    <s v="Terminated for Cause"/>
    <x v="2"/>
    <s v="Exceeds"/>
    <n v="4.3"/>
    <n v="5"/>
    <d v="2015-02-01T00:00:00"/>
    <n v="18"/>
    <x v="0"/>
    <x v="0"/>
    <s v="Kelley Spirea"/>
    <n v="37"/>
    <x v="0"/>
    <n v="4.333333333333333"/>
    <s v="Very Satisfied"/>
    <x v="0"/>
    <x v="1"/>
  </r>
  <r>
    <s v="Von Massenbach, Anna"/>
    <n v="10183"/>
    <s v="P023"/>
    <s v="D004"/>
    <n v="10026"/>
    <d v="2015-07-05T00:00:00"/>
    <n v="62068"/>
    <x v="1"/>
    <d v="1985-04-06T00:00:00"/>
    <s v="Single"/>
    <s v="US Citizen"/>
    <s v="White"/>
    <s v="MA"/>
    <n v="2124"/>
    <m/>
    <s v="N/A-Stillemployed"/>
    <s v="Active"/>
    <x v="0"/>
    <s v="Fully Meets"/>
    <n v="3.21"/>
    <n v="3"/>
    <d v="2019-01-29T00:00:00"/>
    <n v="7"/>
    <x v="0"/>
    <x v="0"/>
    <s v="Michael Albert"/>
    <n v="39"/>
    <x v="0"/>
    <n v="8.75"/>
    <s v="Neutral"/>
    <x v="1"/>
    <x v="0"/>
  </r>
  <r>
    <s v="Walker, Roger"/>
    <n v="10190"/>
    <s v="P024"/>
    <s v="D004"/>
    <n v="10062"/>
    <d v="2014-08-18T00:00:00"/>
    <n v="66541"/>
    <x v="0"/>
    <d v="1976-02-10T00:00:00"/>
    <s v="Single"/>
    <s v="US Citizen"/>
    <s v="Black or African American"/>
    <s v="MA"/>
    <n v="2459"/>
    <m/>
    <s v="N/A-Stillemployed"/>
    <s v="Active"/>
    <x v="3"/>
    <s v="Fully Meets"/>
    <n v="3.11"/>
    <n v="5"/>
    <d v="2019-02-12T00:00:00"/>
    <n v="4"/>
    <x v="2"/>
    <x v="0"/>
    <s v="Ketsia Liebig"/>
    <n v="48"/>
    <x v="0"/>
    <n v="9.5833333333333339"/>
    <s v="Very Satisfied"/>
    <x v="4"/>
    <x v="0"/>
  </r>
  <r>
    <s v="Wallace, Courtney  E"/>
    <n v="10274"/>
    <s v="P022"/>
    <s v="D004"/>
    <n v="10175"/>
    <d v="2011-09-26T00:00:00"/>
    <n v="80512"/>
    <x v="1"/>
    <d v="1955-11-14T00:00:00"/>
    <s v="Married"/>
    <s v="US Citizen"/>
    <s v="Black or African American"/>
    <s v="MA"/>
    <n v="2478"/>
    <d v="2012-01-02T00:00:00"/>
    <s v="Another Position"/>
    <s v="Voluntarily Terminated"/>
    <x v="4"/>
    <s v="Fully Meets"/>
    <n v="4.5"/>
    <n v="3"/>
    <d v="2012-01-02T00:00:00"/>
    <n v="5"/>
    <x v="9"/>
    <x v="0"/>
    <s v="Janet King"/>
    <n v="68"/>
    <x v="2"/>
    <n v="0.25"/>
    <s v="Neutral"/>
    <x v="0"/>
    <x v="1"/>
  </r>
  <r>
    <s v="Wallace, Theresa"/>
    <n v="10293"/>
    <s v="P023"/>
    <s v="D004"/>
    <n v="10088"/>
    <d v="2012-08-13T00:00:00"/>
    <n v="50274"/>
    <x v="1"/>
    <d v="1980-08-02T00:00:00"/>
    <s v="Single"/>
    <s v="US Citizen"/>
    <s v="White"/>
    <s v="MA"/>
    <n v="1887"/>
    <d v="2015-09-01T00:00:00"/>
    <s v="Career Change"/>
    <s v="Voluntarily Terminated"/>
    <x v="6"/>
    <s v="Needs Improvement"/>
    <n v="2.5"/>
    <n v="3"/>
    <d v="2014-09-05T00:00:00"/>
    <n v="13"/>
    <x v="0"/>
    <x v="0"/>
    <s v="Elijiah Gray"/>
    <n v="43"/>
    <x v="0"/>
    <n v="3"/>
    <s v="Neutral"/>
    <x v="3"/>
    <x v="1"/>
  </r>
  <r>
    <s v="Wang, Charlie"/>
    <n v="10172"/>
    <s v="P026"/>
    <s v="D003"/>
    <n v="10197"/>
    <d v="2017-02-15T00:00:00"/>
    <n v="84903"/>
    <x v="0"/>
    <d v="1981-07-08T00:00:00"/>
    <s v="Single"/>
    <s v="US Citizen"/>
    <s v="Asian"/>
    <s v="MA"/>
    <n v="1887"/>
    <m/>
    <s v="N/A-Stillemployed"/>
    <s v="Active"/>
    <x v="1"/>
    <s v="Fully Meets"/>
    <n v="3.42"/>
    <n v="4"/>
    <d v="2019-01-04T00:00:00"/>
    <n v="17"/>
    <x v="24"/>
    <x v="1"/>
    <s v="Brian Champaigne"/>
    <n v="42"/>
    <x v="0"/>
    <n v="7.083333333333333"/>
    <s v="Satisfied"/>
    <x v="10"/>
    <x v="0"/>
  </r>
  <r>
    <s v="Warfield, Sarah"/>
    <n v="10127"/>
    <s v="P032"/>
    <s v="D003"/>
    <n v="10250"/>
    <d v="2015-03-30T00:00:00"/>
    <n v="107226"/>
    <x v="1"/>
    <d v="1978-05-02T00:00:00"/>
    <s v="Widowed"/>
    <s v="US Citizen"/>
    <s v="Asian"/>
    <s v="MA"/>
    <n v="2453"/>
    <m/>
    <s v="N/A-Stillemployed"/>
    <s v="Active"/>
    <x v="3"/>
    <s v="Fully Meets"/>
    <n v="4.2"/>
    <n v="4"/>
    <d v="2019-02-05T00:00:00"/>
    <n v="7"/>
    <x v="15"/>
    <x v="1"/>
    <s v="Peter Monroe"/>
    <n v="45"/>
    <x v="0"/>
    <n v="9"/>
    <s v="Satisfied"/>
    <x v="1"/>
    <x v="0"/>
  </r>
  <r>
    <s v="Whittier, Scott"/>
    <n v="10072"/>
    <s v="P023"/>
    <s v="D004"/>
    <n v="10069"/>
    <d v="2011-01-10T00:00:00"/>
    <n v="58371"/>
    <x v="0"/>
    <d v="1987-05-24T00:00:00"/>
    <s v="Single"/>
    <s v="US Citizen"/>
    <s v="White"/>
    <s v="MA"/>
    <n v="2030"/>
    <d v="2014-05-15T00:00:00"/>
    <s v="Hours"/>
    <s v="Voluntarily Terminated"/>
    <x v="0"/>
    <s v="Fully Meets"/>
    <n v="5"/>
    <n v="5"/>
    <d v="2014-05-15T00:00:00"/>
    <n v="11"/>
    <x v="0"/>
    <x v="0"/>
    <s v="Webster Butler"/>
    <n v="36"/>
    <x v="0"/>
    <n v="3.3333333333333335"/>
    <s v="Very Satisfied"/>
    <x v="0"/>
    <x v="1"/>
  </r>
  <r>
    <s v="Wilber, Barry"/>
    <n v="10048"/>
    <s v="P023"/>
    <s v="D004"/>
    <n v="10002"/>
    <d v="2011-05-16T00:00:00"/>
    <n v="55140"/>
    <x v="0"/>
    <d v="1965-09-09T00:00:00"/>
    <s v="Married"/>
    <s v="Eligible NonCitizen"/>
    <s v="White"/>
    <s v="MA"/>
    <n v="2324"/>
    <d v="2015-09-07T00:00:00"/>
    <s v="Unhappy"/>
    <s v="Voluntarily Terminated"/>
    <x v="7"/>
    <s v="Fully Meets"/>
    <n v="5"/>
    <n v="3"/>
    <d v="2015-02-15T00:00:00"/>
    <n v="7"/>
    <x v="0"/>
    <x v="0"/>
    <s v="Amy Dunn"/>
    <n v="58"/>
    <x v="1"/>
    <n v="4.25"/>
    <s v="Neutral"/>
    <x v="0"/>
    <x v="1"/>
  </r>
  <r>
    <s v="Wilkes, Annie"/>
    <n v="10204"/>
    <s v="P023"/>
    <s v="D004"/>
    <n v="10062"/>
    <d v="2011-01-10T00:00:00"/>
    <n v="58062"/>
    <x v="1"/>
    <d v="1983-07-30T00:00:00"/>
    <s v="Divorced"/>
    <s v="US Citizen"/>
    <s v="White"/>
    <s v="MA"/>
    <n v="1876"/>
    <d v="2012-05-14T00:00:00"/>
    <s v="Another Position"/>
    <s v="Voluntarily Terminated"/>
    <x v="2"/>
    <s v="Fully Meets"/>
    <n v="3.6"/>
    <n v="5"/>
    <d v="2011-02-06T00:00:00"/>
    <n v="9"/>
    <x v="0"/>
    <x v="0"/>
    <s v="Ketsia Liebig"/>
    <n v="40"/>
    <x v="0"/>
    <n v="1.3333333333333333"/>
    <s v="Very Satisfied"/>
    <x v="0"/>
    <x v="1"/>
  </r>
  <r>
    <s v="Williams, Jacquelyn  "/>
    <n v="10264"/>
    <s v="P023"/>
    <s v="D004"/>
    <n v="10062"/>
    <d v="2012-01-09T00:00:00"/>
    <n v="59728"/>
    <x v="1"/>
    <d v="1969-10-02T00:00:00"/>
    <s v="Single"/>
    <s v="US Citizen"/>
    <s v="Black or African American"/>
    <s v="MA"/>
    <n v="2109"/>
    <d v="2015-06-27T00:00:00"/>
    <s v="Relocation Out Of Area"/>
    <s v="Voluntarily Terminated"/>
    <x v="4"/>
    <s v="Fully Meets"/>
    <n v="4.3"/>
    <n v="4"/>
    <d v="2014-06-02T00:00:00"/>
    <n v="16"/>
    <x v="0"/>
    <x v="0"/>
    <s v="Ketsia Liebig"/>
    <n v="54"/>
    <x v="1"/>
    <n v="3.4166666666666665"/>
    <s v="Satisfied"/>
    <x v="3"/>
    <x v="1"/>
  </r>
  <r>
    <s v="Winthrop, Jordan  "/>
    <n v="10033"/>
    <s v="P024"/>
    <s v="D004"/>
    <n v="10114"/>
    <d v="2013-01-07T00:00:00"/>
    <n v="70507"/>
    <x v="0"/>
    <d v="1958-11-07T00:00:00"/>
    <s v="Single"/>
    <s v="US Citizen"/>
    <s v="White"/>
    <s v="MA"/>
    <n v="2045"/>
    <d v="2016-02-21T00:00:00"/>
    <s v="Retiring"/>
    <s v="Voluntarily Terminated"/>
    <x v="0"/>
    <s v="Exceeds"/>
    <n v="5"/>
    <n v="3"/>
    <d v="2016-01-19T00:00:00"/>
    <n v="7"/>
    <x v="2"/>
    <x v="0"/>
    <s v="Brannon Miller"/>
    <n v="65"/>
    <x v="2"/>
    <n v="3.0833333333333335"/>
    <s v="Neutral"/>
    <x v="5"/>
    <x v="1"/>
  </r>
  <r>
    <s v="Wolk, Hang  T"/>
    <n v="10174"/>
    <s v="P024"/>
    <s v="D004"/>
    <n v="10252"/>
    <d v="2014-09-29T00:00:00"/>
    <n v="60446"/>
    <x v="1"/>
    <d v="1985-04-20T00:00:00"/>
    <s v="Single"/>
    <s v="US Citizen"/>
    <s v="White"/>
    <s v="MA"/>
    <n v="2302"/>
    <m/>
    <s v="N/A-Stillemployed"/>
    <s v="Active"/>
    <x v="0"/>
    <s v="Fully Meets"/>
    <n v="3.4"/>
    <n v="4"/>
    <d v="2019-02-21T00:00:00"/>
    <n v="14"/>
    <x v="2"/>
    <x v="0"/>
    <s v="David Stanley"/>
    <n v="38"/>
    <x v="0"/>
    <n v="9.5"/>
    <s v="Satisfied"/>
    <x v="4"/>
    <x v="0"/>
  </r>
  <r>
    <s v="Woodson, Jason"/>
    <n v="10135"/>
    <s v="P024"/>
    <s v="D004"/>
    <n v="10196"/>
    <d v="2014-07-07T00:00:00"/>
    <n v="65893"/>
    <x v="0"/>
    <d v="1985-05-11T00:00:00"/>
    <s v="Single"/>
    <s v="US Citizen"/>
    <s v="White"/>
    <s v="MA"/>
    <n v="1810"/>
    <m/>
    <s v="N/A-Stillemployed"/>
    <s v="Active"/>
    <x v="0"/>
    <s v="Fully Meets"/>
    <n v="4.07"/>
    <n v="4"/>
    <d v="2019-02-28T00:00:00"/>
    <n v="13"/>
    <x v="2"/>
    <x v="0"/>
    <s v="Kissy Sullivan"/>
    <n v="38"/>
    <x v="0"/>
    <n v="9.75"/>
    <s v="Satisfied"/>
    <x v="4"/>
    <x v="0"/>
  </r>
  <r>
    <s v="Ybarra, Catherine "/>
    <n v="10301"/>
    <s v="P023"/>
    <s v="D004"/>
    <n v="10114"/>
    <d v="2008-09-02T00:00:00"/>
    <n v="48513"/>
    <x v="1"/>
    <d v="1982-05-04T00:00:00"/>
    <s v="Single"/>
    <s v="US Citizen"/>
    <s v="Asian"/>
    <s v="MA"/>
    <n v="2458"/>
    <d v="2015-09-29T00:00:00"/>
    <s v="Another Position"/>
    <s v="Voluntarily Terminated"/>
    <x v="2"/>
    <s v="PIP"/>
    <n v="3.2"/>
    <n v="2"/>
    <d v="2015-09-02T00:00:00"/>
    <n v="4"/>
    <x v="0"/>
    <x v="0"/>
    <s v="Brannon Miller"/>
    <n v="41"/>
    <x v="0"/>
    <n v="7"/>
    <s v="Dissatisfied"/>
    <x v="2"/>
    <x v="1"/>
  </r>
  <r>
    <s v="Zamora, Jennifer"/>
    <n v="10010"/>
    <s v="P006"/>
    <s v="D003"/>
    <n v="10175"/>
    <d v="2010-04-10T00:00:00"/>
    <n v="220450"/>
    <x v="1"/>
    <d v="1979-08-30T00:00:00"/>
    <s v="Single"/>
    <s v="US Citizen"/>
    <s v="White"/>
    <s v="MA"/>
    <n v="2067"/>
    <m/>
    <s v="N/A-Stillemployed"/>
    <s v="Active"/>
    <x v="3"/>
    <s v="Exceeds"/>
    <n v="4.5999999999999996"/>
    <n v="5"/>
    <d v="2019-02-21T00:00:00"/>
    <n v="16"/>
    <x v="31"/>
    <x v="1"/>
    <s v="Janet King"/>
    <n v="44"/>
    <x v="0"/>
    <n v="13.916666666666666"/>
    <s v="Very Satisfied"/>
    <x v="8"/>
    <x v="0"/>
  </r>
  <r>
    <s v="Zhou, Julia"/>
    <n v="10043"/>
    <s v="P007"/>
    <s v="D003"/>
    <n v="10084"/>
    <d v="2015-03-30T00:00:00"/>
    <n v="89292"/>
    <x v="1"/>
    <d v="1979-02-24T00:00:00"/>
    <s v="Single"/>
    <s v="US Citizen"/>
    <s v="White"/>
    <s v="MA"/>
    <n v="2148"/>
    <m/>
    <s v="N/A-Stillemployed"/>
    <s v="Active"/>
    <x v="3"/>
    <s v="Fully Meets"/>
    <n v="5"/>
    <n v="3"/>
    <d v="2019-02-01T00:00:00"/>
    <n v="11"/>
    <x v="5"/>
    <x v="1"/>
    <s v="Simon Roup"/>
    <n v="45"/>
    <x v="0"/>
    <n v="9"/>
    <s v="Neutral"/>
    <x v="1"/>
    <x v="0"/>
  </r>
  <r>
    <s v="Zima, Colleen"/>
    <n v="10271"/>
    <s v="P023"/>
    <s v="D004"/>
    <n v="10252"/>
    <d v="2014-09-29T00:00:00"/>
    <n v="45046"/>
    <x v="1"/>
    <d v="1978-08-17T00:00:00"/>
    <s v="Widowed"/>
    <s v="US Citizen"/>
    <s v="Asian"/>
    <s v="MA"/>
    <n v="1730"/>
    <m/>
    <s v="N/A-Stillemployed"/>
    <s v="Active"/>
    <x v="0"/>
    <s v="Fully Meets"/>
    <n v="4.5"/>
    <n v="5"/>
    <d v="2019-01-30T00:00:00"/>
    <n v="2"/>
    <x v="0"/>
    <x v="0"/>
    <s v="David Stanley"/>
    <n v="45"/>
    <x v="0"/>
    <n v="9.5"/>
    <s v="Very Satisfied"/>
    <x v="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173636-1CDC-4B8F-97D5-B9F7F1CAE83C}" name="PT_CHART_EmpCount_by_RecruetmentSource"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49">
  <location ref="AX10:AY16" firstHeaderRow="1" firstDataRow="1" firstDataCol="1" rowPageCount="1"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axis="axisRow" compact="0" outline="0" showAll="0" measureFilter="1" sortType="ascending">
      <items count="10">
        <item x="6"/>
        <item x="4"/>
        <item x="3"/>
        <item x="2"/>
        <item x="1"/>
        <item x="0"/>
        <item x="5"/>
        <item x="8"/>
        <item x="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Fields count="1">
    <field x="17"/>
  </rowFields>
  <rowItems count="6">
    <i>
      <x v="1"/>
    </i>
    <i>
      <x v="3"/>
    </i>
    <i>
      <x v="2"/>
    </i>
    <i>
      <x v="5"/>
    </i>
    <i>
      <x v="4"/>
    </i>
    <i t="grand">
      <x/>
    </i>
  </rowItems>
  <colItems count="1">
    <i/>
  </colItems>
  <pageFields count="1">
    <pageField fld="31" hier="-1"/>
  </pageFields>
  <dataFields count="1">
    <dataField name="Count of EmpID" fld="1" subtotal="count" baseField="30" baseItem="0"/>
  </dataFields>
  <chartFormats count="8">
    <chartFormat chart="7"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pivotArea type="data" outline="0" fieldPosition="0">
        <references count="2">
          <reference field="4294967294" count="1" selected="0">
            <x v="0"/>
          </reference>
          <reference field="17" count="1" selected="0">
            <x v="5"/>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7"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DB1DD9-E818-4F51-ABE4-18B82C5A9405}" name="PT_KPI_Employee_Position_Count"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K9:L42" firstHeaderRow="1" firstDataRow="1" firstDataCol="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axis="axisRow" compact="0" outline="0"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s>
  <rowFields count="1">
    <field x="23"/>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Count" fld="1" subtotal="count" baseField="24" baseItem="0"/>
  </dataFields>
  <formats count="2">
    <format dxfId="14">
      <pivotArea dataOnly="0" labelOnly="1" outline="0" axis="axisValues" fieldPosition="0"/>
    </format>
    <format dxfId="13">
      <pivotArea field="2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BB72BE-D47E-42FF-B3FE-E081057D14AF}" name="PT_CHART_EmpCount_By_Satisfaction"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5">
  <location ref="AL10:AL11" firstHeaderRow="1" firstDataRow="1" firstDataCol="0"/>
  <pivotFields count="32">
    <pivotField compact="0" outline="0" showAll="0"/>
    <pivotField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compact="0" outline="0" multipleItemSelectionAllowed="1" showAll="0"/>
  </pivotFields>
  <rowItems count="1">
    <i/>
  </rowItems>
  <colItems count="1">
    <i/>
  </colItems>
  <dataFields count="1">
    <dataField name="Average of EmpSatisfaction" fld="20" subtotal="average" baseField="0" baseItem="1" numFmtId="2"/>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8200C7-C03C-4317-A642-D10B6BA9BD08}" name="PT_CHART_EmpCount_Hired_By_Year"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27">
  <location ref="AU10:AV24" firstHeaderRow="1" firstDataRow="1" firstDataCol="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axis="axisRow" compact="0" outline="0" showAll="0">
      <items count="14">
        <item x="12"/>
        <item x="11"/>
        <item x="2"/>
        <item x="6"/>
        <item x="8"/>
        <item x="0"/>
        <item x="3"/>
        <item x="5"/>
        <item x="4"/>
        <item x="1"/>
        <item x="7"/>
        <item x="10"/>
        <item x="9"/>
        <item t="default"/>
      </items>
    </pivotField>
    <pivotField compact="0" outline="0" showAll="0"/>
  </pivotFields>
  <rowFields count="1">
    <field x="30"/>
  </rowFields>
  <rowItems count="14">
    <i>
      <x/>
    </i>
    <i>
      <x v="1"/>
    </i>
    <i>
      <x v="2"/>
    </i>
    <i>
      <x v="3"/>
    </i>
    <i>
      <x v="4"/>
    </i>
    <i>
      <x v="5"/>
    </i>
    <i>
      <x v="6"/>
    </i>
    <i>
      <x v="7"/>
    </i>
    <i>
      <x v="8"/>
    </i>
    <i>
      <x v="9"/>
    </i>
    <i>
      <x v="10"/>
    </i>
    <i>
      <x v="11"/>
    </i>
    <i>
      <x v="12"/>
    </i>
    <i t="grand">
      <x/>
    </i>
  </rowItems>
  <colItems count="1">
    <i/>
  </colItems>
  <dataFields count="1">
    <dataField name="Count of EmpID" fld="1" subtotal="count" baseField="30" baseItem="0"/>
  </dataFields>
  <chartFormats count="2">
    <chartFormat chart="17" format="2" series="1">
      <pivotArea type="data" outline="0" fieldPosition="0">
        <references count="1">
          <reference field="4294967294" count="1" selected="0">
            <x v="0"/>
          </reference>
        </references>
      </pivotArea>
    </chartFormat>
    <chartFormat chart="17" format="4">
      <pivotArea type="data" outline="0" fieldPosition="0">
        <references count="2">
          <reference field="4294967294" count="1" selected="0">
            <x v="0"/>
          </reference>
          <reference field="3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A5E50A-3B3D-45B6-B689-210A0D1ED346}" name="PT_KPI_Employee_Active_Count"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E9:E10" firstHeaderRow="1" firstDataRow="1" firstDataCol="0" rowPageCount="1"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Items count="1">
    <i/>
  </rowItems>
  <colItems count="1">
    <i/>
  </colItems>
  <pageFields count="1">
    <pageField fld="31" hier="-1"/>
  </pageFields>
  <dataFields count="1">
    <dataField name="Active_Emp_Count" fld="1" subtotal="count" baseField="0" baseItem="1"/>
  </dataFields>
  <formats count="3">
    <format dxfId="18">
      <pivotArea dataOnly="0" labelOnly="1" outline="0" fieldPosition="0">
        <references count="1">
          <reference field="31" count="0"/>
        </references>
      </pivotArea>
    </format>
    <format dxfId="17">
      <pivotArea dataOnly="0" labelOnly="1" outline="0" fieldPosition="0">
        <references count="1">
          <reference field="31" count="0"/>
        </references>
      </pivotArea>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80657E8-351B-40D6-AC5E-377C8084EF51}" name="PT_CHART_EmpCount_By_Position(Top_5)"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32">
  <location ref="AC10:AD16" firstHeaderRow="1" firstDataRow="1" firstDataCol="1" rowPageCount="1"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axis="axisRow" compact="0" outline="0" showAll="0" measureFilter="1" sortType="ascending">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autoSortScope>
        <pivotArea dataOnly="0" outline="0" fieldPosition="0">
          <references count="1">
            <reference field="4294967294" count="1" selected="0">
              <x v="0"/>
            </reference>
          </references>
        </pivotArea>
      </autoSortScope>
    </pivotField>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Fields count="1">
    <field x="23"/>
  </rowFields>
  <rowItems count="6">
    <i>
      <x v="17"/>
    </i>
    <i>
      <x v="21"/>
    </i>
    <i>
      <x v="2"/>
    </i>
    <i>
      <x v="23"/>
    </i>
    <i>
      <x v="22"/>
    </i>
    <i t="grand">
      <x/>
    </i>
  </rowItems>
  <colItems count="1">
    <i/>
  </colItems>
  <pageFields count="1">
    <pageField fld="31" hier="-1"/>
  </pageFields>
  <dataFields count="1">
    <dataField name="Count" fld="1" subtotal="count" baseField="23" baseItem="0"/>
  </dataFields>
  <chartFormats count="4">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506A0B2-0FD4-4491-9DFD-82454BDF9CEC}" name="PT_KPI_Employee_Department_Count"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H9:I16" firstHeaderRow="1" firstDataRow="1" firstDataCol="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axis="axisRow"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s>
  <rowFields count="1">
    <field x="24"/>
  </rowFields>
  <rowItems count="7">
    <i>
      <x/>
    </i>
    <i>
      <x v="1"/>
    </i>
    <i>
      <x v="2"/>
    </i>
    <i>
      <x v="3"/>
    </i>
    <i>
      <x v="5"/>
    </i>
    <i>
      <x v="6"/>
    </i>
    <i t="grand">
      <x/>
    </i>
  </rowItems>
  <colItems count="1">
    <i/>
  </colItems>
  <dataFields count="1">
    <dataField name="Count" fld="1" subtotal="count" baseField="24" baseItem="0"/>
  </dataFields>
  <formats count="2">
    <format dxfId="20">
      <pivotArea dataOnly="0" labelOnly="1" outline="0" axis="axisValues" fieldPosition="0"/>
    </format>
    <format dxfId="19">
      <pivotArea field="2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A2122EA-870C-4C5A-9052-8A98790893E9}" name="PT_CHART_EmpCount_By_Dept"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17">
  <location ref="X10:Y17" firstHeaderRow="1" firstDataRow="1" firstDataCol="1" rowPageCount="1"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axis="axisRow" compact="0" outline="0" showAll="0" sortType="ascending">
      <items count="8">
        <item x="2"/>
        <item x="4"/>
        <item m="1" x="6"/>
        <item x="1"/>
        <item x="5"/>
        <item x="3"/>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Fields count="1">
    <field x="24"/>
  </rowFields>
  <rowItems count="7">
    <i>
      <x v="4"/>
    </i>
    <i>
      <x v="5"/>
    </i>
    <i>
      <x/>
    </i>
    <i>
      <x v="1"/>
    </i>
    <i>
      <x v="3"/>
    </i>
    <i>
      <x v="6"/>
    </i>
    <i t="grand">
      <x/>
    </i>
  </rowItems>
  <colItems count="1">
    <i/>
  </colItems>
  <pageFields count="1">
    <pageField fld="31" hier="-1"/>
  </pageFields>
  <dataFields count="1">
    <dataField name="No." fld="1" subtotal="count" baseField="24" baseItem="2"/>
  </dataFields>
  <chartFormats count="2">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8E1F055-AA77-4326-B469-2F4FEC5C4A6F}" name="PT_KPI_Employee_Count"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C9:C10" firstHeaderRow="1" firstDataRow="1" firstDataCol="0"/>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compact="0" outline="0" showAll="0"/>
  </pivotFields>
  <rowItems count="1">
    <i/>
  </rowItems>
  <colItems count="1">
    <i/>
  </colItems>
  <dataFields count="1">
    <dataField name="Emp_Count" fld="1" subtotal="count" baseField="0" baseItem="1"/>
  </dataFields>
  <formats count="1">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5A867A-3CF4-4A5B-87B3-445D89F56D40}" name="PT_CHART_Male_Count_&amp;_%"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R9:R10" firstHeaderRow="1" firstDataRow="1" firstDataCol="0" rowPageCount="2"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axis="axisPage" compact="0" outline="0" multipleItemSelectionAllowed="1" showAll="0">
      <items count="3">
        <item h="1"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Items count="1">
    <i/>
  </rowItems>
  <colItems count="1">
    <i/>
  </colItems>
  <pageFields count="2">
    <pageField fld="31" hier="-1"/>
    <pageField fld="7" hier="-1"/>
  </pageFields>
  <dataFields count="1">
    <dataField name="Count of EmpID" fld="1" subtotal="count" baseField="7" baseItem="0"/>
  </dataFields>
  <formats count="1">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8EBF4C4-0C0A-4E49-8529-CD6BF99D6EAF}" name="PT_CHART_EmpCount_By_Age" cacheId="0" applyNumberFormats="0" applyBorderFormats="0" applyFontFormats="0" applyPatternFormats="0" applyAlignmentFormats="0" applyWidthHeightFormats="1" dataCaption="Values" updatedVersion="8" minRefreshableVersion="3" itemPrintTitles="1" createdVersion="8" indent="0" compact="0" compactData="0" multipleFieldFilters="0" chartFormat="18">
  <location ref="AH10:AI14" firstHeaderRow="1" firstDataRow="1" firstDataCol="1" rowPageCount="1"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axis="axisRow" compact="0" outline="0" showAll="0">
      <items count="4">
        <item x="0"/>
        <item x="1"/>
        <item x="2"/>
        <item t="default"/>
      </items>
    </pivotField>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Fields count="1">
    <field x="27"/>
  </rowFields>
  <rowItems count="4">
    <i>
      <x/>
    </i>
    <i>
      <x v="1"/>
    </i>
    <i>
      <x v="2"/>
    </i>
    <i t="grand">
      <x/>
    </i>
  </rowItems>
  <colItems count="1">
    <i/>
  </colItems>
  <pageFields count="1">
    <pageField fld="31" hier="-1"/>
  </pageFields>
  <dataFields count="1">
    <dataField name="No." fld="1" subtotal="count" baseField="24" baseItem="2"/>
  </dataFields>
  <chartFormats count="6">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27" count="1" selected="0">
            <x v="0"/>
          </reference>
        </references>
      </pivotArea>
    </chartFormat>
    <chartFormat chart="7" format="7">
      <pivotArea type="data" outline="0" fieldPosition="0">
        <references count="2">
          <reference field="4294967294" count="1" selected="0">
            <x v="0"/>
          </reference>
          <reference field="27" count="1" selected="0">
            <x v="1"/>
          </reference>
        </references>
      </pivotArea>
    </chartFormat>
    <chartFormat chart="7" format="8">
      <pivotArea type="data" outline="0" fieldPosition="0">
        <references count="2">
          <reference field="4294967294" count="1" selected="0">
            <x v="0"/>
          </reference>
          <reference field="2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D668FE1-6091-4CD5-AED2-B52A869501EA}" name="PT_CHART_Female_Count_&amp;_%"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U9:U10" firstHeaderRow="1" firstDataRow="1" firstDataCol="0" rowPageCount="2" colPageCount="1"/>
  <pivotFields count="32">
    <pivotField compact="0" outline="0" showAll="0"/>
    <pivotField dataField="1" compact="0" outline="0" showAll="0"/>
    <pivotField compact="0" outline="0" showAll="0"/>
    <pivotField compact="0" outline="0" showAll="0"/>
    <pivotField compact="0" outline="0" showAll="0"/>
    <pivotField compact="0" numFmtId="14" outline="0" showAll="0"/>
    <pivotField compact="0" numFmtId="43" outline="0" showAll="0"/>
    <pivotField axis="axisPage" compact="0" outline="0" multipleItemSelectionAllowed="1" showAll="0">
      <items count="3">
        <item x="1"/>
        <item h="1"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Items count="1">
    <i/>
  </rowItems>
  <colItems count="1">
    <i/>
  </colItems>
  <pageFields count="2">
    <pageField fld="31" hier="-1"/>
    <pageField fld="7" hier="-1"/>
  </pageFields>
  <dataFields count="1">
    <dataField name="Count of EmpID" fld="1" subtotal="count" baseField="7" baseItem="0"/>
  </dataFields>
  <formats count="1">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5C171A3-395E-4F4F-870C-E935EF221829}" name="PT_KPI_Average_of_Annual_Salary_(USD)" cacheId="0"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N9:N10" firstHeaderRow="1" firstDataRow="1" firstDataCol="0" rowPageCount="1" colPageCount="1"/>
  <pivotFields count="32">
    <pivotField compact="0" outline="0" showAll="0"/>
    <pivotField compact="0" outline="0" showAll="0"/>
    <pivotField compact="0" outline="0" showAll="0"/>
    <pivotField compact="0" outline="0" showAll="0"/>
    <pivotField compact="0" outline="0" showAll="0"/>
    <pivotField compact="0" numFmtId="14" outline="0" showAll="0"/>
    <pivotField dataField="1" compact="0" numFmtId="43"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items count="8">
        <item x="3"/>
        <item x="5"/>
        <item x="1"/>
        <item x="0"/>
        <item m="1" x="6"/>
        <item x="4"/>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items count="14">
        <item x="12"/>
        <item x="11"/>
        <item x="2"/>
        <item x="6"/>
        <item x="8"/>
        <item x="0"/>
        <item x="3"/>
        <item x="5"/>
        <item x="4"/>
        <item x="1"/>
        <item x="7"/>
        <item x="10"/>
        <item x="9"/>
        <item t="default"/>
      </items>
    </pivotField>
    <pivotField axis="axisPage" compact="0" outline="0" multipleItemSelectionAllowed="1" showAll="0">
      <items count="3">
        <item x="0"/>
        <item h="1" x="1"/>
        <item t="default"/>
      </items>
    </pivotField>
  </pivotFields>
  <rowItems count="1">
    <i/>
  </rowItems>
  <colItems count="1">
    <i/>
  </colItems>
  <pageFields count="1">
    <pageField fld="31" hier="-1"/>
  </pageFields>
  <dataFields count="1">
    <dataField name="Average of Annual Salary (USD)" fld="6" subtotal="average" baseField="0" baseItem="1" numFmtId="165"/>
  </dataFields>
  <formats count="3">
    <format dxfId="26">
      <pivotArea outline="0" collapsedLevelsAreSubtotals="1" fieldPosition="0"/>
    </format>
    <format dxfId="25">
      <pivotArea dataOnly="0" labelOnly="1" outline="0" fieldPosition="0">
        <references count="1">
          <reference field="31" count="0"/>
        </references>
      </pivotArea>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of_Hire_Year" xr10:uid="{463ADD25-8967-4002-9EF7-CBBF2DB7A1DA}" sourceName="Date of Hire(Year)">
  <pivotTables>
    <pivotTable tabId="8" name="PT_KPI_Average_of_Annual_Salary_(USD)"/>
    <pivotTable tabId="8" name="PT_KPI_Employee_Count"/>
    <pivotTable tabId="8" name="PT_KPI_Employee_Active_Count"/>
    <pivotTable tabId="8" name="PT_CHART_Male_Count_&amp;_%"/>
    <pivotTable tabId="8" name="PT_CHART_Female_Count_&amp;_%"/>
    <pivotTable tabId="8" name="PT_CHART_EmpCount_By_Dept"/>
    <pivotTable tabId="8" name="PT_CHART_EmpCount_By_Position(Top_5)"/>
    <pivotTable tabId="8" name="PT_CHART_EmpCount_By_Age"/>
    <pivotTable tabId="8" name="PT_CHART_EmpCount_By_Satisfaction"/>
    <pivotTable tabId="8" name="PT_CHART_EmpCount_by_RecruetmentSource"/>
  </pivotTables>
  <data>
    <tabular pivotCacheId="412796817">
      <items count="13">
        <i x="12" s="1"/>
        <i x="11" s="1"/>
        <i x="2" s="1"/>
        <i x="6" s="1"/>
        <i x="8" s="1"/>
        <i x="0" s="1"/>
        <i x="3" s="1"/>
        <i x="5" s="1"/>
        <i x="4" s="1"/>
        <i x="1" s="1"/>
        <i x="7" s="1"/>
        <i x="10" s="1"/>
        <i x="9"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82382A9-32BC-4810-A1DE-1248D148FB0A}" sourceName="Department">
  <pivotTables>
    <pivotTable tabId="8" name="PT_CHART_EmpCount_By_Age"/>
    <pivotTable tabId="8" name="PT_CHART_EmpCount_By_Dept"/>
    <pivotTable tabId="8" name="PT_CHART_EmpCount_by_RecruetmentSource"/>
    <pivotTable tabId="8" name="PT_CHART_EmpCount_By_Satisfaction"/>
    <pivotTable tabId="8" name="PT_CHART_Female_Count_&amp;_%"/>
    <pivotTable tabId="8" name="PT_CHART_Male_Count_&amp;_%"/>
    <pivotTable tabId="8" name="PT_KPI_Average_of_Annual_Salary_(USD)"/>
    <pivotTable tabId="8" name="PT_KPI_Employee_Active_Count"/>
    <pivotTable tabId="8" name="PT_KPI_Employee_Count"/>
    <pivotTable tabId="8" name="PT_KPI_Employee_Department_Count"/>
  </pivotTables>
  <data>
    <tabular pivotCacheId="412796817">
      <items count="7">
        <i x="3" s="1"/>
        <i x="5" s="1"/>
        <i x="1" s="1"/>
        <i x="0" s="1"/>
        <i x="4"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of Hire(Year)" xr10:uid="{E60CC763-7269-4E51-88B6-EABDF03ED9CE}" cache="Slicer_Date_of_Hire_Year" columnCount="2" style="Slicer Style 1" rowHeight="234950"/>
  <slicer name="Department" xr10:uid="{28305E28-8F61-4DCC-BBBD-7EEDFCA64583}" cache="Slicer_Department"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F41D82-121D-4C75-BCC1-E81A91E8F37D}" name="Table1" displayName="Table1" ref="A1:AF312" totalsRowShown="0" headerRowDxfId="12">
  <autoFilter ref="A1:AF312" xr:uid="{00000000-0001-0000-0000-000000000000}">
    <filterColumn colId="31">
      <filters>
        <filter val="Active"/>
      </filters>
    </filterColumn>
  </autoFilter>
  <tableColumns count="32">
    <tableColumn id="1" xr3:uid="{73288523-E442-4062-A6E0-37F384974C5A}" name="Name"/>
    <tableColumn id="2" xr3:uid="{7D80AA80-DDB6-488C-B04D-2FDBC7E921C8}" name="EmpID"/>
    <tableColumn id="3" xr3:uid="{571A38BD-6547-4840-872C-1E1FD240849E}" name="Position ID"/>
    <tableColumn id="4" xr3:uid="{6ED175ED-DD82-4AFF-A17E-000C6251D93C}" name="Department ID"/>
    <tableColumn id="5" xr3:uid="{A5D9FDE9-2A40-4DDF-A0AC-F323AD6B6A95}" name="Manger ID"/>
    <tableColumn id="6" xr3:uid="{F47EB6DC-9AF2-48B6-B04A-66E11293EF72}" name="DateofHire" dataDxfId="11"/>
    <tableColumn id="7" xr3:uid="{05B03F65-2033-4241-9194-F2CAF3D365A0}" name="Annual Salary (USD" dataCellStyle="Comma"/>
    <tableColumn id="8" xr3:uid="{77FA7A0E-9DD7-4191-8400-35EB2615BF4B}" name="Sex"/>
    <tableColumn id="9" xr3:uid="{BB0914F7-89F6-4A3C-B888-9FB3B66FC3D6}" name="DOB" dataDxfId="10"/>
    <tableColumn id="10" xr3:uid="{DF8AB761-F5EA-481F-A211-3B54F79EC533}" name="MaritalDesc"/>
    <tableColumn id="11" xr3:uid="{09EF8FF8-AA90-4765-A610-B5757B9D6939}" name="CitizenDesc"/>
    <tableColumn id="12" xr3:uid="{2CB97F23-553E-4542-A532-00FE19302330}" name="RaceDesc"/>
    <tableColumn id="13" xr3:uid="{1E9B045D-1EA1-40A3-9AED-86AAC62D04C6}" name="State"/>
    <tableColumn id="14" xr3:uid="{DF7641CE-5988-4DAF-AD66-AE468A4AE91B}" name="Zip"/>
    <tableColumn id="15" xr3:uid="{478C9B8D-BB8F-4082-864E-28DD654850E0}" name="DateofTermination"/>
    <tableColumn id="16" xr3:uid="{2A2E78DD-1CCD-4213-8746-2928470C0242}" name="TermReason"/>
    <tableColumn id="17" xr3:uid="{5E8301C0-5A77-4F20-ABCB-49D1C590415A}" name="EmploymentStatus"/>
    <tableColumn id="18" xr3:uid="{2C2F0DCD-54E7-4F30-A5D1-6A9A059FB5E0}" name="RecruitmentSource"/>
    <tableColumn id="19" xr3:uid="{03EF8490-7239-4A5B-AB09-9B2B9376ECD8}" name="PerformanceScore"/>
    <tableColumn id="20" xr3:uid="{DBF1A295-CBA4-46FD-AD6C-A29731E33A02}" name="EngagementSurvey"/>
    <tableColumn id="21" xr3:uid="{9AB97377-907A-435D-A787-49C3B1F93C7F}" name="EmpSatisfaction"/>
    <tableColumn id="22" xr3:uid="{3A895D60-F5BB-43CE-94BA-B62798013CF7}" name="LastPerformanceReview_Date" dataDxfId="9"/>
    <tableColumn id="23" xr3:uid="{24992137-BA73-4C6D-8E78-A163A3BAFF05}" name="Absences"/>
    <tableColumn id="24" xr3:uid="{B5FEE3F8-D28F-484C-B54B-244209EE8C2D}" name="Position" dataDxfId="8">
      <calculatedColumnFormula>INDEX(Position!B:B,MATCH(Table1[[#This Row],[Position ID]],Position!A:A, 0 ))</calculatedColumnFormula>
    </tableColumn>
    <tableColumn id="25" xr3:uid="{17404943-7999-4A9D-881C-92A96F9F7040}" name="Department" dataDxfId="7">
      <calculatedColumnFormula>INDEX(Department!B:B,MATCH(Table1[[#This Row],[Department ID]],Department!A:A,0))</calculatedColumnFormula>
    </tableColumn>
    <tableColumn id="26" xr3:uid="{56FA1130-42C8-4344-9AAE-7EAE83602737}" name="Manager" dataDxfId="6">
      <calculatedColumnFormula>INDEX(Manager!B:B,MATCH(Table1[[#This Row],[Manger ID]],Manager!A:A,0))</calculatedColumnFormula>
    </tableColumn>
    <tableColumn id="29" xr3:uid="{C5F99604-D9F2-45FC-95D0-4D2986B4CCD2}" name=" Age" dataDxfId="5">
      <calculatedColumnFormula>DATEDIF(Table1[[#This Row],[DOB]],TODAY(), "Y")</calculatedColumnFormula>
    </tableColumn>
    <tableColumn id="32" xr3:uid="{6EED0B49-8F98-4C7B-A73A-E6CC9F071F51}" name="Age Bracket" dataDxfId="4">
      <calculatedColumnFormula>IF(Table1[[#This Row],[ Age]]&lt;18,"Less than 18",IF(Table1[[#This Row],[ Age]]&lt;=29,"18-29",IF(Table1[[#This Row],[ Age]]&lt;=49,"30-49",IF(Table1[[#This Row],[ Age]]&lt;=59,"50-59","60 or more"))))</calculatedColumnFormula>
    </tableColumn>
    <tableColumn id="30" xr3:uid="{D22E7328-AC0A-484A-BBFF-C223E8084384}" name="Tenured(Yrs)" dataDxfId="3">
      <calculatedColumnFormula>IF(ISBLANK(Table1[[#This Row],[DateofTermination]]),DATEDIF(Table1[[#This Row],[DateofHire]],TODAY(), "M"),DATEDIF(Table1[[#This Row],[DateofHire]],Table1[[#This Row],[DateofTermination]],"M"))/12</calculatedColumnFormula>
    </tableColumn>
    <tableColumn id="28" xr3:uid="{EF51531B-1311-4B85-B832-24D0B9BFAE58}" name="EmployeeSatisfaction" dataDxfId="2">
      <calculatedColumnFormula>IF(Table1[[#This Row],[EmpSatisfaction]]=1,"Very Dissatisfied", IF(Table1[[#This Row],[EmpSatisfaction]] = 2, "Dissatisfied", IF(Table1[[#This Row],[EmpSatisfaction]]  = 3, "Neutral", IF(Table1[[#This Row],[EmpSatisfaction]] = 4, "Satisfied", IF(Table1[[#This Row],[EmpSatisfaction]]=5,"Very Satisfied", " ")))))</calculatedColumnFormula>
    </tableColumn>
    <tableColumn id="27" xr3:uid="{C85AA772-3DF4-42AE-9902-CA3EA8C5E988}" name="Date of Hire(Year)" dataDxfId="1">
      <calculatedColumnFormula>YEAR(Table1[[#This Row],[DateofHire]])</calculatedColumnFormula>
    </tableColumn>
    <tableColumn id="31" xr3:uid="{BB6B389B-AD42-4BF8-AF04-CDCBA0F682E6}" name="EmploymentStatus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ww.kaggle.com/datasets/rhuebner/human-resources-data-s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383D2-6907-4E0D-BB1E-900D00212437}">
  <sheetPr codeName="Sheet2">
    <tabColor rgb="FFC00000"/>
  </sheetPr>
  <dimension ref="A1:X38"/>
  <sheetViews>
    <sheetView tabSelected="1" zoomScale="70" zoomScaleNormal="70" workbookViewId="0">
      <selection sqref="A1:X38"/>
    </sheetView>
  </sheetViews>
  <sheetFormatPr defaultColWidth="0" defaultRowHeight="14.4" zeroHeight="1" x14ac:dyDescent="0.3"/>
  <cols>
    <col min="1" max="23" width="8.88671875" style="22" customWidth="1"/>
    <col min="24" max="24" width="5.6640625" style="22" customWidth="1"/>
    <col min="25" max="16384" width="8.88671875" style="22"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spans="3:3" x14ac:dyDescent="0.3"/>
    <row r="18" spans="3:3" x14ac:dyDescent="0.3"/>
    <row r="19" spans="3:3" x14ac:dyDescent="0.3"/>
    <row r="20" spans="3:3" x14ac:dyDescent="0.3"/>
    <row r="21" spans="3:3" x14ac:dyDescent="0.3"/>
    <row r="22" spans="3:3" x14ac:dyDescent="0.3"/>
    <row r="23" spans="3:3" x14ac:dyDescent="0.3"/>
    <row r="24" spans="3:3" x14ac:dyDescent="0.3">
      <c r="C24" s="23"/>
    </row>
    <row r="25" spans="3:3" x14ac:dyDescent="0.3"/>
    <row r="26" spans="3:3" x14ac:dyDescent="0.3"/>
    <row r="27" spans="3:3" x14ac:dyDescent="0.3"/>
    <row r="28" spans="3:3" x14ac:dyDescent="0.3"/>
    <row r="29" spans="3:3" x14ac:dyDescent="0.3"/>
    <row r="30" spans="3:3" x14ac:dyDescent="0.3"/>
    <row r="31" spans="3:3" x14ac:dyDescent="0.3"/>
    <row r="32" spans="3:3" x14ac:dyDescent="0.3"/>
    <row r="33" x14ac:dyDescent="0.3"/>
    <row r="34" x14ac:dyDescent="0.3"/>
    <row r="35" x14ac:dyDescent="0.3"/>
    <row r="36" x14ac:dyDescent="0.3"/>
    <row r="37" x14ac:dyDescent="0.3"/>
    <row r="38" ht="6" customHeight="1" x14ac:dyDescent="0.3"/>
  </sheetData>
  <sheetProtection selectLockedCells="1" pivotTables="0"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8A703-C6A9-47E7-B501-43ECEEADECCC}">
  <sheetPr codeName="Sheet3">
    <tabColor theme="9"/>
  </sheetPr>
  <dimension ref="A1:BA42"/>
  <sheetViews>
    <sheetView topLeftCell="S1" zoomScale="85" zoomScaleNormal="85" workbookViewId="0">
      <selection activeCell="AL11" sqref="AL11"/>
    </sheetView>
  </sheetViews>
  <sheetFormatPr defaultRowHeight="14.4" x14ac:dyDescent="0.3"/>
  <cols>
    <col min="1" max="1" width="37.109375" bestFit="1" customWidth="1"/>
    <col min="2" max="2" width="2.44140625" style="10" customWidth="1"/>
    <col min="3" max="3" width="20.44140625" customWidth="1"/>
    <col min="4" max="4" width="2.44140625" style="10" customWidth="1"/>
    <col min="5" max="5" width="28.77734375" bestFit="1" customWidth="1"/>
    <col min="6" max="6" width="8.77734375" bestFit="1" customWidth="1"/>
    <col min="7" max="7" width="2.44140625" style="10" customWidth="1"/>
    <col min="8" max="8" width="22.5546875" customWidth="1"/>
    <col min="9" max="9" width="15" bestFit="1" customWidth="1"/>
    <col min="10" max="10" width="2.44140625" style="10" customWidth="1"/>
    <col min="11" max="11" width="27.5546875" bestFit="1" customWidth="1"/>
    <col min="12" max="12" width="27.5546875" customWidth="1"/>
    <col min="13" max="13" width="2.44140625" style="10" customWidth="1"/>
    <col min="14" max="14" width="34.88671875" bestFit="1" customWidth="1"/>
    <col min="15" max="15" width="8.77734375" bestFit="1" customWidth="1"/>
    <col min="16" max="16" width="8.77734375" customWidth="1"/>
    <col min="17" max="17" width="2.44140625" style="10" customWidth="1"/>
    <col min="18" max="18" width="17.88671875" bestFit="1" customWidth="1"/>
    <col min="19" max="19" width="9.77734375" customWidth="1"/>
    <col min="20" max="20" width="2.44140625" style="10" customWidth="1"/>
    <col min="21" max="21" width="19.5546875" bestFit="1" customWidth="1"/>
    <col min="22" max="22" width="9.6640625" bestFit="1" customWidth="1"/>
    <col min="23" max="23" width="2.44140625" style="10" customWidth="1"/>
    <col min="24" max="24" width="29.88671875" bestFit="1" customWidth="1"/>
    <col min="25" max="25" width="8.77734375" bestFit="1" customWidth="1"/>
    <col min="26" max="27" width="2.77734375" customWidth="1"/>
    <col min="28" max="28" width="2.44140625" style="10" customWidth="1"/>
    <col min="29" max="29" width="26.109375" bestFit="1" customWidth="1"/>
    <col min="30" max="30" width="8.77734375" bestFit="1" customWidth="1"/>
    <col min="31" max="31" width="8.109375" customWidth="1"/>
    <col min="32" max="32" width="2.77734375" customWidth="1"/>
    <col min="33" max="33" width="2.44140625" style="10" customWidth="1"/>
    <col min="34" max="34" width="30" bestFit="1" customWidth="1"/>
    <col min="35" max="35" width="4" bestFit="1" customWidth="1"/>
    <col min="36" max="36" width="2.77734375" customWidth="1"/>
    <col min="37" max="37" width="2.44140625" style="10" customWidth="1"/>
    <col min="38" max="38" width="33.33203125" bestFit="1" customWidth="1"/>
    <col min="39" max="39" width="15" bestFit="1" customWidth="1"/>
    <col min="40" max="40" width="1.77734375" customWidth="1"/>
    <col min="41" max="41" width="15" customWidth="1"/>
    <col min="42" max="45" width="10" customWidth="1"/>
    <col min="46" max="46" width="2.44140625" style="10" customWidth="1"/>
    <col min="47" max="47" width="20.6640625" bestFit="1" customWidth="1"/>
    <col min="48" max="48" width="15" bestFit="1" customWidth="1"/>
    <col min="49" max="49" width="2.44140625" style="10" customWidth="1"/>
    <col min="50" max="50" width="18.5546875" bestFit="1" customWidth="1"/>
    <col min="51" max="51" width="15" bestFit="1" customWidth="1"/>
    <col min="52" max="52" width="13.6640625" customWidth="1"/>
    <col min="53" max="53" width="2.44140625" style="10" customWidth="1"/>
    <col min="54" max="54" width="9.6640625" customWidth="1"/>
    <col min="55" max="57" width="8.77734375" customWidth="1"/>
    <col min="105" max="105" width="1.5546875" bestFit="1" customWidth="1"/>
  </cols>
  <sheetData>
    <row r="1" spans="1:53" x14ac:dyDescent="0.3">
      <c r="A1" t="s">
        <v>503</v>
      </c>
    </row>
    <row r="3" spans="1:53" ht="14.4" customHeight="1" x14ac:dyDescent="0.3">
      <c r="A3" t="s">
        <v>549</v>
      </c>
      <c r="C3" s="20" t="s">
        <v>540</v>
      </c>
      <c r="E3" s="21" t="s">
        <v>541</v>
      </c>
      <c r="H3" s="21" t="s">
        <v>544</v>
      </c>
      <c r="K3" s="21" t="s">
        <v>548</v>
      </c>
      <c r="N3" s="21" t="s">
        <v>550</v>
      </c>
      <c r="R3" s="21" t="s">
        <v>551</v>
      </c>
      <c r="U3" s="21" t="s">
        <v>552</v>
      </c>
      <c r="X3" s="21" t="s">
        <v>553</v>
      </c>
      <c r="AC3" s="21" t="s">
        <v>554</v>
      </c>
      <c r="AH3" s="21" t="s">
        <v>555</v>
      </c>
      <c r="AL3" s="21" t="s">
        <v>556</v>
      </c>
      <c r="AO3" s="21" t="s">
        <v>560</v>
      </c>
      <c r="AU3" s="21" t="s">
        <v>557</v>
      </c>
      <c r="AX3" s="21" t="s">
        <v>558</v>
      </c>
    </row>
    <row r="4" spans="1:53" x14ac:dyDescent="0.3">
      <c r="A4" s="19" t="s">
        <v>540</v>
      </c>
      <c r="C4" s="18"/>
    </row>
    <row r="5" spans="1:53" x14ac:dyDescent="0.3">
      <c r="A5" t="s">
        <v>541</v>
      </c>
    </row>
    <row r="6" spans="1:53" x14ac:dyDescent="0.3">
      <c r="A6" t="s">
        <v>544</v>
      </c>
      <c r="R6" s="9" t="s">
        <v>537</v>
      </c>
      <c r="S6" t="s">
        <v>25</v>
      </c>
      <c r="U6" s="9" t="s">
        <v>537</v>
      </c>
      <c r="V6" t="s">
        <v>25</v>
      </c>
    </row>
    <row r="7" spans="1:53" x14ac:dyDescent="0.3">
      <c r="A7" t="s">
        <v>548</v>
      </c>
      <c r="E7" s="9" t="s">
        <v>537</v>
      </c>
      <c r="F7" s="13" t="s">
        <v>25</v>
      </c>
      <c r="N7" s="9" t="s">
        <v>537</v>
      </c>
      <c r="O7" t="s">
        <v>25</v>
      </c>
      <c r="R7" s="9" t="s">
        <v>5</v>
      </c>
      <c r="S7" t="s">
        <v>498</v>
      </c>
      <c r="U7" s="9" t="s">
        <v>5</v>
      </c>
      <c r="V7" t="s">
        <v>499</v>
      </c>
    </row>
    <row r="8" spans="1:53" x14ac:dyDescent="0.3">
      <c r="A8" t="s">
        <v>550</v>
      </c>
      <c r="H8" s="17" t="s">
        <v>545</v>
      </c>
      <c r="I8">
        <f>COUNTA(H10:H100)-1</f>
        <v>6</v>
      </c>
      <c r="K8" s="17" t="s">
        <v>547</v>
      </c>
      <c r="L8">
        <f>COUNTA(K10:K100)-1</f>
        <v>32</v>
      </c>
      <c r="X8" s="9" t="s">
        <v>537</v>
      </c>
      <c r="Y8" t="s">
        <v>25</v>
      </c>
      <c r="AC8" s="9" t="s">
        <v>537</v>
      </c>
      <c r="AD8" t="s">
        <v>25</v>
      </c>
      <c r="AH8" s="9" t="s">
        <v>537</v>
      </c>
      <c r="AI8" t="s">
        <v>25</v>
      </c>
      <c r="AX8" s="9" t="s">
        <v>537</v>
      </c>
      <c r="AY8" t="s">
        <v>25</v>
      </c>
    </row>
    <row r="9" spans="1:53" s="14" customFormat="1" x14ac:dyDescent="0.3">
      <c r="A9"/>
      <c r="B9" s="10"/>
      <c r="C9" s="14" t="s">
        <v>543</v>
      </c>
      <c r="D9" s="10"/>
      <c r="E9" s="14" t="s">
        <v>542</v>
      </c>
      <c r="F9"/>
      <c r="G9" s="10"/>
      <c r="H9" s="14" t="s">
        <v>13</v>
      </c>
      <c r="I9" s="14" t="s">
        <v>546</v>
      </c>
      <c r="J9" s="10"/>
      <c r="K9" s="9" t="s">
        <v>1</v>
      </c>
      <c r="L9" s="14" t="s">
        <v>546</v>
      </c>
      <c r="M9" s="10"/>
      <c r="N9" s="14" t="s">
        <v>539</v>
      </c>
      <c r="Q9" s="15"/>
      <c r="R9" s="14" t="s">
        <v>532</v>
      </c>
      <c r="S9" s="14" t="s">
        <v>536</v>
      </c>
      <c r="T9" s="10"/>
      <c r="U9" s="14" t="s">
        <v>532</v>
      </c>
      <c r="W9" s="10"/>
      <c r="X9" s="16" t="s">
        <v>509</v>
      </c>
      <c r="AB9" s="15"/>
      <c r="AC9" s="16" t="s">
        <v>510</v>
      </c>
      <c r="AG9" s="15"/>
      <c r="AH9" s="16" t="s">
        <v>511</v>
      </c>
      <c r="AK9" s="15"/>
      <c r="AL9" s="16" t="s">
        <v>531</v>
      </c>
      <c r="AN9"/>
      <c r="AO9" s="21" t="s">
        <v>562</v>
      </c>
      <c r="AP9"/>
      <c r="AQ9"/>
      <c r="AR9" s="21" t="s">
        <v>563</v>
      </c>
      <c r="AS9"/>
      <c r="AT9" s="10"/>
      <c r="AU9" s="16" t="s">
        <v>538</v>
      </c>
      <c r="AW9" s="15"/>
      <c r="AX9" s="16" t="s">
        <v>14</v>
      </c>
      <c r="BA9" s="15"/>
    </row>
    <row r="10" spans="1:53" x14ac:dyDescent="0.3">
      <c r="A10" s="21" t="s">
        <v>551</v>
      </c>
      <c r="C10">
        <v>311</v>
      </c>
      <c r="E10">
        <v>207</v>
      </c>
      <c r="H10" t="s">
        <v>95</v>
      </c>
      <c r="I10">
        <v>9</v>
      </c>
      <c r="K10" t="s">
        <v>102</v>
      </c>
      <c r="L10">
        <v>3</v>
      </c>
      <c r="N10" s="12">
        <v>70694.033816425115</v>
      </c>
      <c r="R10">
        <v>91</v>
      </c>
      <c r="S10" s="11">
        <f>IFERROR(R10/E10, "0")</f>
        <v>0.43961352657004832</v>
      </c>
      <c r="U10">
        <v>116</v>
      </c>
      <c r="V10" s="11">
        <f>IFERROR(U10/E10, "0")</f>
        <v>0.56038647342995174</v>
      </c>
      <c r="X10" s="9" t="s">
        <v>13</v>
      </c>
      <c r="Y10" t="s">
        <v>505</v>
      </c>
      <c r="AC10" s="9" t="s">
        <v>1</v>
      </c>
      <c r="AD10" t="s">
        <v>546</v>
      </c>
      <c r="AH10" s="9" t="s">
        <v>506</v>
      </c>
      <c r="AI10" t="s">
        <v>505</v>
      </c>
      <c r="AL10" t="s">
        <v>566</v>
      </c>
      <c r="AO10" s="21"/>
      <c r="AU10" s="9" t="s">
        <v>534</v>
      </c>
      <c r="AV10" t="s">
        <v>532</v>
      </c>
      <c r="AX10" s="9" t="s">
        <v>14</v>
      </c>
      <c r="AY10" t="s">
        <v>532</v>
      </c>
    </row>
    <row r="11" spans="1:53" x14ac:dyDescent="0.3">
      <c r="A11" s="21" t="s">
        <v>552</v>
      </c>
      <c r="H11" t="s">
        <v>263</v>
      </c>
      <c r="I11">
        <v>1</v>
      </c>
      <c r="K11" t="s">
        <v>241</v>
      </c>
      <c r="L11">
        <v>3</v>
      </c>
      <c r="X11" t="s">
        <v>263</v>
      </c>
      <c r="Y11">
        <v>1</v>
      </c>
      <c r="AC11" t="s">
        <v>61</v>
      </c>
      <c r="AD11">
        <v>8</v>
      </c>
      <c r="AH11" t="s">
        <v>508</v>
      </c>
      <c r="AI11">
        <v>160</v>
      </c>
      <c r="AL11" s="24">
        <v>3.8906752411575565</v>
      </c>
      <c r="AO11">
        <v>1</v>
      </c>
      <c r="AP11">
        <v>1</v>
      </c>
      <c r="AR11" t="s">
        <v>563</v>
      </c>
      <c r="AS11">
        <f>GETPIVOTDATA("EmpSatisfaction",$AL$10)</f>
        <v>3.8906752411575565</v>
      </c>
      <c r="AU11">
        <v>2006</v>
      </c>
      <c r="AV11">
        <v>1</v>
      </c>
      <c r="AX11" t="s">
        <v>59</v>
      </c>
      <c r="AY11">
        <v>13</v>
      </c>
    </row>
    <row r="12" spans="1:53" x14ac:dyDescent="0.3">
      <c r="A12" s="21" t="s">
        <v>553</v>
      </c>
      <c r="H12" t="s">
        <v>33</v>
      </c>
      <c r="I12">
        <v>50</v>
      </c>
      <c r="K12" t="s">
        <v>107</v>
      </c>
      <c r="L12">
        <v>27</v>
      </c>
      <c r="X12" t="s">
        <v>95</v>
      </c>
      <c r="Y12">
        <v>7</v>
      </c>
      <c r="AC12" t="s">
        <v>98</v>
      </c>
      <c r="AD12">
        <v>9</v>
      </c>
      <c r="AH12" t="s">
        <v>507</v>
      </c>
      <c r="AI12">
        <v>38</v>
      </c>
      <c r="AO12">
        <v>2</v>
      </c>
      <c r="AP12">
        <v>1</v>
      </c>
      <c r="AR12" t="s">
        <v>564</v>
      </c>
      <c r="AS12">
        <v>0.1</v>
      </c>
      <c r="AU12">
        <v>2007</v>
      </c>
      <c r="AV12">
        <v>2</v>
      </c>
      <c r="AX12" t="s">
        <v>45</v>
      </c>
      <c r="AY12">
        <v>19</v>
      </c>
    </row>
    <row r="13" spans="1:53" x14ac:dyDescent="0.3">
      <c r="A13" s="21" t="s">
        <v>554</v>
      </c>
      <c r="H13" t="s">
        <v>533</v>
      </c>
      <c r="I13">
        <v>209</v>
      </c>
      <c r="K13" t="s">
        <v>162</v>
      </c>
      <c r="L13">
        <v>4</v>
      </c>
      <c r="X13" t="s">
        <v>50</v>
      </c>
      <c r="Y13">
        <v>7</v>
      </c>
      <c r="AC13" t="s">
        <v>107</v>
      </c>
      <c r="AD13">
        <v>23</v>
      </c>
      <c r="AH13" t="s">
        <v>559</v>
      </c>
      <c r="AI13">
        <v>9</v>
      </c>
      <c r="AO13">
        <v>3</v>
      </c>
      <c r="AP13">
        <v>1</v>
      </c>
      <c r="AR13" t="s">
        <v>565</v>
      </c>
      <c r="AS13">
        <f>AP16*2-AS11-AS12</f>
        <v>6.0093247588424443</v>
      </c>
      <c r="AU13">
        <v>2008</v>
      </c>
      <c r="AV13">
        <v>3</v>
      </c>
      <c r="AX13" t="s">
        <v>55</v>
      </c>
      <c r="AY13">
        <v>26</v>
      </c>
    </row>
    <row r="14" spans="1:53" x14ac:dyDescent="0.3">
      <c r="A14" s="21" t="s">
        <v>555</v>
      </c>
      <c r="H14" t="s">
        <v>109</v>
      </c>
      <c r="I14">
        <v>31</v>
      </c>
      <c r="K14" t="s">
        <v>124</v>
      </c>
      <c r="L14">
        <v>1</v>
      </c>
      <c r="X14" t="s">
        <v>109</v>
      </c>
      <c r="Y14">
        <v>26</v>
      </c>
      <c r="AC14" t="s">
        <v>38</v>
      </c>
      <c r="AD14">
        <v>31</v>
      </c>
      <c r="AH14" t="s">
        <v>504</v>
      </c>
      <c r="AI14">
        <v>207</v>
      </c>
      <c r="AO14">
        <v>4</v>
      </c>
      <c r="AP14">
        <v>1</v>
      </c>
      <c r="AU14">
        <v>2009</v>
      </c>
      <c r="AV14">
        <v>7</v>
      </c>
      <c r="AX14" t="s">
        <v>27</v>
      </c>
      <c r="AY14">
        <v>58</v>
      </c>
    </row>
    <row r="15" spans="1:53" x14ac:dyDescent="0.3">
      <c r="A15" s="21" t="s">
        <v>556</v>
      </c>
      <c r="H15" t="s">
        <v>50</v>
      </c>
      <c r="I15">
        <v>11</v>
      </c>
      <c r="K15" t="s">
        <v>443</v>
      </c>
      <c r="L15">
        <v>1</v>
      </c>
      <c r="X15" t="s">
        <v>33</v>
      </c>
      <c r="Y15">
        <v>40</v>
      </c>
      <c r="AC15" t="s">
        <v>20</v>
      </c>
      <c r="AD15">
        <v>85</v>
      </c>
      <c r="AO15">
        <v>5</v>
      </c>
      <c r="AP15">
        <v>1</v>
      </c>
      <c r="AU15">
        <v>2010</v>
      </c>
      <c r="AV15">
        <v>9</v>
      </c>
      <c r="AX15" t="s">
        <v>35</v>
      </c>
      <c r="AY15">
        <v>66</v>
      </c>
    </row>
    <row r="16" spans="1:53" x14ac:dyDescent="0.3">
      <c r="A16" s="21" t="s">
        <v>560</v>
      </c>
      <c r="H16" t="s">
        <v>504</v>
      </c>
      <c r="I16">
        <v>311</v>
      </c>
      <c r="K16" t="s">
        <v>67</v>
      </c>
      <c r="L16">
        <v>7</v>
      </c>
      <c r="X16" t="s">
        <v>533</v>
      </c>
      <c r="Y16">
        <v>126</v>
      </c>
      <c r="AC16" t="s">
        <v>504</v>
      </c>
      <c r="AD16">
        <v>156</v>
      </c>
      <c r="AO16" t="s">
        <v>561</v>
      </c>
      <c r="AP16">
        <f>SUM(AP11:AP15)</f>
        <v>5</v>
      </c>
      <c r="AU16">
        <v>2011</v>
      </c>
      <c r="AV16">
        <v>83</v>
      </c>
      <c r="AX16" t="s">
        <v>504</v>
      </c>
      <c r="AY16">
        <v>182</v>
      </c>
    </row>
    <row r="17" spans="1:48" x14ac:dyDescent="0.3">
      <c r="A17" s="21" t="s">
        <v>557</v>
      </c>
      <c r="K17" t="s">
        <v>377</v>
      </c>
      <c r="L17">
        <v>1</v>
      </c>
      <c r="X17" t="s">
        <v>504</v>
      </c>
      <c r="Y17">
        <v>207</v>
      </c>
      <c r="AU17">
        <v>2012</v>
      </c>
      <c r="AV17">
        <v>45</v>
      </c>
    </row>
    <row r="18" spans="1:48" x14ac:dyDescent="0.3">
      <c r="A18" s="21" t="s">
        <v>558</v>
      </c>
      <c r="K18" t="s">
        <v>366</v>
      </c>
      <c r="L18">
        <v>1</v>
      </c>
      <c r="AU18">
        <v>2013</v>
      </c>
      <c r="AV18">
        <v>44</v>
      </c>
    </row>
    <row r="19" spans="1:48" x14ac:dyDescent="0.3">
      <c r="K19" t="s">
        <v>80</v>
      </c>
      <c r="L19">
        <v>5</v>
      </c>
      <c r="AU19">
        <v>2014</v>
      </c>
      <c r="AV19">
        <v>60</v>
      </c>
    </row>
    <row r="20" spans="1:48" x14ac:dyDescent="0.3">
      <c r="K20" t="s">
        <v>141</v>
      </c>
      <c r="L20">
        <v>1</v>
      </c>
      <c r="AU20">
        <v>2015</v>
      </c>
      <c r="AV20">
        <v>36</v>
      </c>
    </row>
    <row r="21" spans="1:48" x14ac:dyDescent="0.3">
      <c r="K21" t="s">
        <v>238</v>
      </c>
      <c r="L21">
        <v>1</v>
      </c>
      <c r="AU21">
        <v>2016</v>
      </c>
      <c r="AV21">
        <v>14</v>
      </c>
    </row>
    <row r="22" spans="1:48" x14ac:dyDescent="0.3">
      <c r="K22" t="s">
        <v>91</v>
      </c>
      <c r="L22">
        <v>1</v>
      </c>
      <c r="AU22">
        <v>2017</v>
      </c>
      <c r="AV22">
        <v>6</v>
      </c>
    </row>
    <row r="23" spans="1:48" x14ac:dyDescent="0.3">
      <c r="K23" t="s">
        <v>195</v>
      </c>
      <c r="L23">
        <v>1</v>
      </c>
      <c r="AU23">
        <v>2018</v>
      </c>
      <c r="AV23">
        <v>1</v>
      </c>
    </row>
    <row r="24" spans="1:48" x14ac:dyDescent="0.3">
      <c r="K24" t="s">
        <v>370</v>
      </c>
      <c r="L24">
        <v>2</v>
      </c>
      <c r="AU24" t="s">
        <v>504</v>
      </c>
      <c r="AV24">
        <v>311</v>
      </c>
    </row>
    <row r="25" spans="1:48" x14ac:dyDescent="0.3">
      <c r="K25" t="s">
        <v>309</v>
      </c>
      <c r="L25">
        <v>1</v>
      </c>
    </row>
    <row r="26" spans="1:48" x14ac:dyDescent="0.3">
      <c r="K26" t="s">
        <v>172</v>
      </c>
      <c r="L26">
        <v>1</v>
      </c>
    </row>
    <row r="27" spans="1:48" x14ac:dyDescent="0.3">
      <c r="K27" t="s">
        <v>61</v>
      </c>
      <c r="L27">
        <v>8</v>
      </c>
    </row>
    <row r="28" spans="1:48" x14ac:dyDescent="0.3">
      <c r="K28" t="s">
        <v>189</v>
      </c>
      <c r="L28">
        <v>5</v>
      </c>
    </row>
    <row r="29" spans="1:48" x14ac:dyDescent="0.3">
      <c r="K29" t="s">
        <v>262</v>
      </c>
      <c r="L29">
        <v>1</v>
      </c>
    </row>
    <row r="30" spans="1:48" x14ac:dyDescent="0.3">
      <c r="K30" t="s">
        <v>364</v>
      </c>
      <c r="L30">
        <v>1</v>
      </c>
    </row>
    <row r="31" spans="1:48" x14ac:dyDescent="0.3">
      <c r="K31" t="s">
        <v>98</v>
      </c>
      <c r="L31">
        <v>14</v>
      </c>
    </row>
    <row r="32" spans="1:48" x14ac:dyDescent="0.3">
      <c r="K32" t="s">
        <v>20</v>
      </c>
      <c r="L32">
        <v>137</v>
      </c>
    </row>
    <row r="33" spans="11:12" x14ac:dyDescent="0.3">
      <c r="K33" t="s">
        <v>38</v>
      </c>
      <c r="L33">
        <v>57</v>
      </c>
    </row>
    <row r="34" spans="11:12" x14ac:dyDescent="0.3">
      <c r="K34" t="s">
        <v>148</v>
      </c>
      <c r="L34">
        <v>3</v>
      </c>
    </row>
    <row r="35" spans="11:12" x14ac:dyDescent="0.3">
      <c r="K35" t="s">
        <v>277</v>
      </c>
      <c r="L35">
        <v>3</v>
      </c>
    </row>
    <row r="36" spans="11:12" x14ac:dyDescent="0.3">
      <c r="K36" t="s">
        <v>280</v>
      </c>
      <c r="L36">
        <v>1</v>
      </c>
    </row>
    <row r="37" spans="11:12" x14ac:dyDescent="0.3">
      <c r="K37" t="s">
        <v>49</v>
      </c>
      <c r="L37">
        <v>10</v>
      </c>
    </row>
    <row r="38" spans="11:12" x14ac:dyDescent="0.3">
      <c r="K38" t="s">
        <v>114</v>
      </c>
      <c r="L38">
        <v>1</v>
      </c>
    </row>
    <row r="39" spans="11:12" x14ac:dyDescent="0.3">
      <c r="K39" t="s">
        <v>94</v>
      </c>
      <c r="L39">
        <v>2</v>
      </c>
    </row>
    <row r="40" spans="11:12" x14ac:dyDescent="0.3">
      <c r="K40" t="s">
        <v>30</v>
      </c>
      <c r="L40">
        <v>2</v>
      </c>
    </row>
    <row r="41" spans="11:12" x14ac:dyDescent="0.3">
      <c r="K41" t="s">
        <v>146</v>
      </c>
      <c r="L41">
        <v>5</v>
      </c>
    </row>
    <row r="42" spans="11:12" x14ac:dyDescent="0.3">
      <c r="K42" t="s">
        <v>504</v>
      </c>
      <c r="L42">
        <v>311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5" tint="0.79998168889431442"/>
  </sheetPr>
  <dimension ref="A1:AF312"/>
  <sheetViews>
    <sheetView topLeftCell="S1" workbookViewId="0">
      <selection activeCell="AL9" sqref="AL9"/>
    </sheetView>
  </sheetViews>
  <sheetFormatPr defaultColWidth="23.33203125" defaultRowHeight="14.4" x14ac:dyDescent="0.3"/>
  <cols>
    <col min="1" max="1" width="21.6640625" bestFit="1" customWidth="1"/>
    <col min="2" max="2" width="8.77734375" bestFit="1" customWidth="1"/>
    <col min="3" max="3" width="12.21875" bestFit="1" customWidth="1"/>
    <col min="4" max="4" width="15.6640625" bestFit="1" customWidth="1"/>
    <col min="5" max="5" width="12" bestFit="1" customWidth="1"/>
    <col min="6" max="6" width="12.21875" bestFit="1" customWidth="1"/>
    <col min="7" max="7" width="21" style="7" bestFit="1" customWidth="1"/>
    <col min="8" max="8" width="6.88671875" bestFit="1" customWidth="1"/>
    <col min="9" max="9" width="10.5546875" bestFit="1" customWidth="1"/>
    <col min="10" max="10" width="13.109375" bestFit="1" customWidth="1"/>
    <col min="11" max="11" width="16.109375" bestFit="1" customWidth="1"/>
    <col min="12" max="12" width="28.21875" bestFit="1" customWidth="1"/>
    <col min="13" max="13" width="7.5546875" bestFit="1" customWidth="1"/>
    <col min="14" max="14" width="6" bestFit="1" customWidth="1"/>
    <col min="15" max="15" width="19.21875" bestFit="1" customWidth="1"/>
    <col min="16" max="16" width="26.77734375" bestFit="1" customWidth="1"/>
    <col min="17" max="17" width="21.33203125" bestFit="1" customWidth="1"/>
    <col min="18" max="18" width="20.77734375" bestFit="1" customWidth="1"/>
    <col min="19" max="19" width="18.88671875" bestFit="1" customWidth="1"/>
    <col min="20" max="20" width="19.77734375" bestFit="1" customWidth="1"/>
    <col min="21" max="21" width="16.88671875" bestFit="1" customWidth="1"/>
    <col min="22" max="22" width="28.77734375" bestFit="1" customWidth="1"/>
    <col min="23" max="23" width="11.109375" bestFit="1" customWidth="1"/>
    <col min="24" max="24" width="26.33203125" bestFit="1" customWidth="1"/>
    <col min="25" max="25" width="18.44140625" bestFit="1" customWidth="1"/>
    <col min="26" max="26" width="16.88671875" bestFit="1" customWidth="1"/>
    <col min="27" max="27" width="6.88671875" bestFit="1" customWidth="1"/>
    <col min="28" max="28" width="13.21875" bestFit="1" customWidth="1"/>
    <col min="29" max="29" width="14" style="8" bestFit="1" customWidth="1"/>
  </cols>
  <sheetData>
    <row r="1" spans="1:32" x14ac:dyDescent="0.3">
      <c r="A1" s="4" t="s">
        <v>449</v>
      </c>
      <c r="B1" s="4" t="s">
        <v>0</v>
      </c>
      <c r="C1" s="4" t="s">
        <v>451</v>
      </c>
      <c r="D1" s="4" t="s">
        <v>493</v>
      </c>
      <c r="E1" s="4" t="s">
        <v>494</v>
      </c>
      <c r="F1" s="4" t="s">
        <v>9</v>
      </c>
      <c r="G1" s="6" t="s">
        <v>501</v>
      </c>
      <c r="H1" s="4" t="s">
        <v>5</v>
      </c>
      <c r="I1" s="4" t="s">
        <v>4</v>
      </c>
      <c r="J1" s="4" t="s">
        <v>6</v>
      </c>
      <c r="K1" s="4" t="s">
        <v>7</v>
      </c>
      <c r="L1" s="4" t="s">
        <v>8</v>
      </c>
      <c r="M1" s="4" t="s">
        <v>2</v>
      </c>
      <c r="N1" s="4" t="s">
        <v>3</v>
      </c>
      <c r="O1" s="4" t="s">
        <v>10</v>
      </c>
      <c r="P1" s="4" t="s">
        <v>11</v>
      </c>
      <c r="Q1" s="4" t="s">
        <v>12</v>
      </c>
      <c r="R1" s="4" t="s">
        <v>14</v>
      </c>
      <c r="S1" s="4" t="s">
        <v>15</v>
      </c>
      <c r="T1" s="4" t="s">
        <v>16</v>
      </c>
      <c r="U1" s="4" t="s">
        <v>17</v>
      </c>
      <c r="V1" s="4" t="s">
        <v>18</v>
      </c>
      <c r="W1" s="4" t="s">
        <v>19</v>
      </c>
      <c r="X1" s="5" t="s">
        <v>1</v>
      </c>
      <c r="Y1" s="5" t="s">
        <v>13</v>
      </c>
      <c r="Z1" s="5" t="s">
        <v>448</v>
      </c>
      <c r="AA1" s="5" t="s">
        <v>500</v>
      </c>
      <c r="AB1" s="5" t="s">
        <v>506</v>
      </c>
      <c r="AC1" s="5" t="s">
        <v>502</v>
      </c>
      <c r="AD1" s="5" t="s">
        <v>530</v>
      </c>
      <c r="AE1" s="5" t="s">
        <v>534</v>
      </c>
      <c r="AF1" s="5" t="s">
        <v>537</v>
      </c>
    </row>
    <row r="2" spans="1:32" x14ac:dyDescent="0.3">
      <c r="A2" t="s">
        <v>450</v>
      </c>
      <c r="B2">
        <v>10026</v>
      </c>
      <c r="C2" t="s">
        <v>474</v>
      </c>
      <c r="D2" t="s">
        <v>489</v>
      </c>
      <c r="E2">
        <v>10026</v>
      </c>
      <c r="F2" s="1">
        <v>40729</v>
      </c>
      <c r="G2" s="7">
        <v>62506</v>
      </c>
      <c r="H2" t="s">
        <v>498</v>
      </c>
      <c r="I2" s="3">
        <v>30507</v>
      </c>
      <c r="J2" t="s">
        <v>22</v>
      </c>
      <c r="K2" t="s">
        <v>23</v>
      </c>
      <c r="L2" t="s">
        <v>24</v>
      </c>
      <c r="M2" t="s">
        <v>21</v>
      </c>
      <c r="N2">
        <v>1960</v>
      </c>
      <c r="P2" t="s">
        <v>512</v>
      </c>
      <c r="Q2" t="s">
        <v>25</v>
      </c>
      <c r="R2" t="s">
        <v>27</v>
      </c>
      <c r="S2" t="s">
        <v>28</v>
      </c>
      <c r="T2">
        <v>4.5999999999999996</v>
      </c>
      <c r="U2">
        <v>5</v>
      </c>
      <c r="V2" s="1">
        <v>43482</v>
      </c>
      <c r="W2">
        <v>1</v>
      </c>
      <c r="X2" t="str">
        <f>INDEX(Position!B:B,MATCH(Table1[[#This Row],[Position ID]],Position!A:A, 0 ))</f>
        <v>Production Technician I</v>
      </c>
      <c r="Y2" t="str">
        <f>INDEX(Department!B:B,MATCH(Table1[[#This Row],[Department ID]],Department!A:A,0))</f>
        <v>Production</v>
      </c>
      <c r="Z2" t="str">
        <f>INDEX(Manager!B:B,MATCH(Table1[[#This Row],[Manger ID]],Manager!A:A,0))</f>
        <v>Michael Albert</v>
      </c>
      <c r="AA2">
        <f ca="1">DATEDIF(Table1[[#This Row],[DOB]],TODAY(), "Y")</f>
        <v>40</v>
      </c>
      <c r="AB2" t="str">
        <f ca="1">IF(Table1[[#This Row],[ Age]]&lt;18,"Less than 18",IF(Table1[[#This Row],[ Age]]&lt;=29,"18-29",IF(Table1[[#This Row],[ Age]]&lt;=49,"30-49",IF(Table1[[#This Row],[ Age]]&lt;=59,"50-59","60 or more"))))</f>
        <v>30-49</v>
      </c>
      <c r="AC2" s="8">
        <f ca="1">IF(ISBLANK(Table1[[#This Row],[DateofTermination]]),DATEDIF(Table1[[#This Row],[DateofHire]],TODAY(), "M"),DATEDIF(Table1[[#This Row],[DateofHire]],Table1[[#This Row],[DateofTermination]],"M"))/12</f>
        <v>12.75</v>
      </c>
      <c r="AD2" t="str">
        <f>IF(Table1[[#This Row],[EmpSatisfaction]]=1,"Very Dissatisfied", IF(Table1[[#This Row],[EmpSatisfaction]] = 2, "Dissatisfied", IF(Table1[[#This Row],[EmpSatisfaction]]  = 3, "Neutral", IF(Table1[[#This Row],[EmpSatisfaction]] = 4, "Satisfied", IF(Table1[[#This Row],[EmpSatisfaction]]=5,"Very Satisfied", " ")))))</f>
        <v>Very Satisfied</v>
      </c>
      <c r="AE2">
        <f>YEAR(Table1[[#This Row],[DateofHire]])</f>
        <v>2011</v>
      </c>
      <c r="AF2" t="s">
        <v>25</v>
      </c>
    </row>
    <row r="3" spans="1:32" hidden="1" x14ac:dyDescent="0.3">
      <c r="A3" t="s">
        <v>29</v>
      </c>
      <c r="B3">
        <v>10084</v>
      </c>
      <c r="C3" t="s">
        <v>482</v>
      </c>
      <c r="D3" t="s">
        <v>488</v>
      </c>
      <c r="E3">
        <v>10084</v>
      </c>
      <c r="F3" s="1">
        <v>42093</v>
      </c>
      <c r="G3" s="7">
        <v>104437</v>
      </c>
      <c r="H3" t="s">
        <v>498</v>
      </c>
      <c r="I3" s="1">
        <v>27519</v>
      </c>
      <c r="J3" t="s">
        <v>31</v>
      </c>
      <c r="K3" t="s">
        <v>23</v>
      </c>
      <c r="L3" t="s">
        <v>24</v>
      </c>
      <c r="M3" t="s">
        <v>21</v>
      </c>
      <c r="N3">
        <v>2148</v>
      </c>
      <c r="O3" s="1">
        <v>42537</v>
      </c>
      <c r="P3" t="s">
        <v>513</v>
      </c>
      <c r="Q3" t="s">
        <v>32</v>
      </c>
      <c r="R3" t="s">
        <v>35</v>
      </c>
      <c r="S3" t="s">
        <v>36</v>
      </c>
      <c r="T3">
        <v>4.96</v>
      </c>
      <c r="U3">
        <v>3</v>
      </c>
      <c r="V3" s="1">
        <v>42424</v>
      </c>
      <c r="W3">
        <v>17</v>
      </c>
      <c r="X3" t="str">
        <f>INDEX(Position!B:B,MATCH(Table1[[#This Row],[Position ID]],Position!A:A, 0 ))</f>
        <v>Sr. DBA</v>
      </c>
      <c r="Y3" t="str">
        <f>INDEX(Department!B:B,MATCH(Table1[[#This Row],[Department ID]],Department!A:A,0))</f>
        <v>IT/IS</v>
      </c>
      <c r="Z3" t="str">
        <f>INDEX(Manager!B:B,MATCH(Table1[[#This Row],[Manger ID]],Manager!A:A,0))</f>
        <v>Simon Roup</v>
      </c>
      <c r="AA3">
        <f ca="1">DATEDIF(Table1[[#This Row],[DOB]],TODAY(), "Y")</f>
        <v>48</v>
      </c>
      <c r="AB3" t="str">
        <f ca="1">IF(Table1[[#This Row],[ Age]]&lt;18,"Less than 18",IF(Table1[[#This Row],[ Age]]&lt;=29,"18-29",IF(Table1[[#This Row],[ Age]]&lt;=49,"30-49",IF(Table1[[#This Row],[ Age]]&lt;=59,"50-59","60 or more"))))</f>
        <v>30-49</v>
      </c>
      <c r="AC3" s="8">
        <f ca="1">IF(ISBLANK(Table1[[#This Row],[DateofTermination]]),DATEDIF(Table1[[#This Row],[DateofHire]],TODAY(), "M"),DATEDIF(Table1[[#This Row],[DateofHire]],Table1[[#This Row],[DateofTermination]],"M"))/12</f>
        <v>1.1666666666666667</v>
      </c>
      <c r="AD3" t="str">
        <f>IF(Table1[[#This Row],[EmpSatisfaction]]=1,"Very Dissatisfied", IF(Table1[[#This Row],[EmpSatisfaction]] = 2, "Dissatisfied", IF(Table1[[#This Row],[EmpSatisfaction]]  = 3, "Neutral", IF(Table1[[#This Row],[EmpSatisfaction]] = 4, "Satisfied", IF(Table1[[#This Row],[EmpSatisfaction]]=5,"Very Satisfied", " ")))))</f>
        <v>Neutral</v>
      </c>
      <c r="AE3">
        <f>YEAR(Table1[[#This Row],[DateofHire]])</f>
        <v>2015</v>
      </c>
      <c r="AF3" t="s">
        <v>535</v>
      </c>
    </row>
    <row r="4" spans="1:32" hidden="1" x14ac:dyDescent="0.3">
      <c r="A4" t="s">
        <v>37</v>
      </c>
      <c r="B4">
        <v>10196</v>
      </c>
      <c r="C4" t="s">
        <v>475</v>
      </c>
      <c r="D4" t="s">
        <v>489</v>
      </c>
      <c r="E4">
        <v>10196</v>
      </c>
      <c r="F4" s="1">
        <v>40729</v>
      </c>
      <c r="G4" s="7">
        <v>64955</v>
      </c>
      <c r="H4" t="s">
        <v>499</v>
      </c>
      <c r="I4" s="1">
        <v>32405</v>
      </c>
      <c r="J4" t="s">
        <v>31</v>
      </c>
      <c r="K4" t="s">
        <v>23</v>
      </c>
      <c r="L4" t="s">
        <v>24</v>
      </c>
      <c r="M4" t="s">
        <v>21</v>
      </c>
      <c r="N4">
        <v>1810</v>
      </c>
      <c r="O4" s="1">
        <v>41176</v>
      </c>
      <c r="P4" t="s">
        <v>514</v>
      </c>
      <c r="Q4" t="s">
        <v>32</v>
      </c>
      <c r="R4" t="s">
        <v>27</v>
      </c>
      <c r="S4" t="s">
        <v>36</v>
      </c>
      <c r="T4">
        <v>3.02</v>
      </c>
      <c r="U4">
        <v>3</v>
      </c>
      <c r="V4" s="1">
        <v>41044</v>
      </c>
      <c r="W4">
        <v>3</v>
      </c>
      <c r="X4" t="str">
        <f>INDEX(Position!B:B,MATCH(Table1[[#This Row],[Position ID]],Position!A:A, 0 ))</f>
        <v>Production Technician II</v>
      </c>
      <c r="Y4" t="str">
        <f>INDEX(Department!B:B,MATCH(Table1[[#This Row],[Department ID]],Department!A:A,0))</f>
        <v>Production</v>
      </c>
      <c r="Z4" t="str">
        <f>INDEX(Manager!B:B,MATCH(Table1[[#This Row],[Manger ID]],Manager!A:A,0))</f>
        <v>Kissy Sullivan</v>
      </c>
      <c r="AA4">
        <f ca="1">DATEDIF(Table1[[#This Row],[DOB]],TODAY(), "Y")</f>
        <v>35</v>
      </c>
      <c r="AB4" t="str">
        <f ca="1">IF(Table1[[#This Row],[ Age]]&lt;18,"Less than 18",IF(Table1[[#This Row],[ Age]]&lt;=29,"18-29",IF(Table1[[#This Row],[ Age]]&lt;=49,"30-49",IF(Table1[[#This Row],[ Age]]&lt;=59,"50-59","60 or more"))))</f>
        <v>30-49</v>
      </c>
      <c r="AC4" s="8">
        <f ca="1">IF(ISBLANK(Table1[[#This Row],[DateofTermination]]),DATEDIF(Table1[[#This Row],[DateofHire]],TODAY(), "M"),DATEDIF(Table1[[#This Row],[DateofHire]],Table1[[#This Row],[DateofTermination]],"M"))/12</f>
        <v>1.1666666666666667</v>
      </c>
      <c r="AD4" t="str">
        <f>IF(Table1[[#This Row],[EmpSatisfaction]]=1,"Very Dissatisfied", IF(Table1[[#This Row],[EmpSatisfaction]] = 2, "Dissatisfied", IF(Table1[[#This Row],[EmpSatisfaction]]  = 3, "Neutral", IF(Table1[[#This Row],[EmpSatisfaction]] = 4, "Satisfied", IF(Table1[[#This Row],[EmpSatisfaction]]=5,"Very Satisfied", " ")))))</f>
        <v>Neutral</v>
      </c>
      <c r="AE4">
        <f>YEAR(Table1[[#This Row],[DateofHire]])</f>
        <v>2011</v>
      </c>
      <c r="AF4" t="s">
        <v>535</v>
      </c>
    </row>
    <row r="5" spans="1:32" x14ac:dyDescent="0.3">
      <c r="A5" t="s">
        <v>40</v>
      </c>
      <c r="B5">
        <v>10088</v>
      </c>
      <c r="C5" t="s">
        <v>474</v>
      </c>
      <c r="D5" t="s">
        <v>489</v>
      </c>
      <c r="E5">
        <v>10088</v>
      </c>
      <c r="F5" s="1">
        <v>39454</v>
      </c>
      <c r="G5" s="7">
        <v>64991</v>
      </c>
      <c r="H5" t="s">
        <v>499</v>
      </c>
      <c r="I5" s="1">
        <v>32413</v>
      </c>
      <c r="J5" t="s">
        <v>31</v>
      </c>
      <c r="K5" t="s">
        <v>23</v>
      </c>
      <c r="L5" t="s">
        <v>24</v>
      </c>
      <c r="M5" t="s">
        <v>21</v>
      </c>
      <c r="N5">
        <v>1886</v>
      </c>
      <c r="P5" t="s">
        <v>512</v>
      </c>
      <c r="Q5" t="s">
        <v>25</v>
      </c>
      <c r="R5" t="s">
        <v>35</v>
      </c>
      <c r="S5" t="s">
        <v>36</v>
      </c>
      <c r="T5">
        <v>4.84</v>
      </c>
      <c r="U5">
        <v>5</v>
      </c>
      <c r="V5" s="1">
        <v>43468</v>
      </c>
      <c r="W5">
        <v>15</v>
      </c>
      <c r="X5" t="str">
        <f>INDEX(Position!B:B,MATCH(Table1[[#This Row],[Position ID]],Position!A:A, 0 ))</f>
        <v>Production Technician I</v>
      </c>
      <c r="Y5" t="str">
        <f>INDEX(Department!B:B,MATCH(Table1[[#This Row],[Department ID]],Department!A:A,0))</f>
        <v>Production</v>
      </c>
      <c r="Z5" t="str">
        <f>INDEX(Manager!B:B,MATCH(Table1[[#This Row],[Manger ID]],Manager!A:A,0))</f>
        <v>Elijiah Gray</v>
      </c>
      <c r="AA5">
        <f ca="1">DATEDIF(Table1[[#This Row],[DOB]],TODAY(), "Y")</f>
        <v>35</v>
      </c>
      <c r="AB5" t="str">
        <f ca="1">IF(Table1[[#This Row],[ Age]]&lt;18,"Less than 18",IF(Table1[[#This Row],[ Age]]&lt;=29,"18-29",IF(Table1[[#This Row],[ Age]]&lt;=49,"30-49",IF(Table1[[#This Row],[ Age]]&lt;=59,"50-59","60 or more"))))</f>
        <v>30-49</v>
      </c>
      <c r="AC5" s="8">
        <f ca="1">IF(ISBLANK(Table1[[#This Row],[DateofTermination]]),DATEDIF(Table1[[#This Row],[DateofHire]],TODAY(), "M"),DATEDIF(Table1[[#This Row],[DateofHire]],Table1[[#This Row],[DateofTermination]],"M"))/12</f>
        <v>16.25</v>
      </c>
      <c r="AD5" t="str">
        <f>IF(Table1[[#This Row],[EmpSatisfaction]]=1,"Very Dissatisfied", IF(Table1[[#This Row],[EmpSatisfaction]] = 2, "Dissatisfied", IF(Table1[[#This Row],[EmpSatisfaction]]  = 3, "Neutral", IF(Table1[[#This Row],[EmpSatisfaction]] = 4, "Satisfied", IF(Table1[[#This Row],[EmpSatisfaction]]=5,"Very Satisfied", " ")))))</f>
        <v>Very Satisfied</v>
      </c>
      <c r="AE5">
        <f>YEAR(Table1[[#This Row],[DateofHire]])</f>
        <v>2008</v>
      </c>
      <c r="AF5" t="s">
        <v>25</v>
      </c>
    </row>
    <row r="6" spans="1:32" hidden="1" x14ac:dyDescent="0.3">
      <c r="A6" t="s">
        <v>42</v>
      </c>
      <c r="B6">
        <v>10069</v>
      </c>
      <c r="C6" t="s">
        <v>474</v>
      </c>
      <c r="D6" t="s">
        <v>489</v>
      </c>
      <c r="E6">
        <v>10069</v>
      </c>
      <c r="F6" s="1">
        <v>40735</v>
      </c>
      <c r="G6" s="7">
        <v>50825</v>
      </c>
      <c r="H6" t="s">
        <v>499</v>
      </c>
      <c r="I6" s="1">
        <v>32759</v>
      </c>
      <c r="J6" t="s">
        <v>43</v>
      </c>
      <c r="K6" t="s">
        <v>23</v>
      </c>
      <c r="L6" t="s">
        <v>24</v>
      </c>
      <c r="M6" t="s">
        <v>21</v>
      </c>
      <c r="N6">
        <v>2169</v>
      </c>
      <c r="O6" s="1">
        <v>42619</v>
      </c>
      <c r="P6" t="s">
        <v>515</v>
      </c>
      <c r="Q6" t="s">
        <v>32</v>
      </c>
      <c r="R6" t="s">
        <v>45</v>
      </c>
      <c r="S6" t="s">
        <v>36</v>
      </c>
      <c r="T6">
        <v>5</v>
      </c>
      <c r="U6">
        <v>4</v>
      </c>
      <c r="V6" s="1">
        <v>42401</v>
      </c>
      <c r="W6">
        <v>2</v>
      </c>
      <c r="X6" t="str">
        <f>INDEX(Position!B:B,MATCH(Table1[[#This Row],[Position ID]],Position!A:A, 0 ))</f>
        <v>Production Technician I</v>
      </c>
      <c r="Y6" t="str">
        <f>INDEX(Department!B:B,MATCH(Table1[[#This Row],[Department ID]],Department!A:A,0))</f>
        <v>Production</v>
      </c>
      <c r="Z6" t="str">
        <f>INDEX(Manager!B:B,MATCH(Table1[[#This Row],[Manger ID]],Manager!A:A,0))</f>
        <v>Webster Butler</v>
      </c>
      <c r="AA6">
        <f ca="1">DATEDIF(Table1[[#This Row],[DOB]],TODAY(), "Y")</f>
        <v>34</v>
      </c>
      <c r="AB6" t="str">
        <f ca="1">IF(Table1[[#This Row],[ Age]]&lt;18,"Less than 18",IF(Table1[[#This Row],[ Age]]&lt;=29,"18-29",IF(Table1[[#This Row],[ Age]]&lt;=49,"30-49",IF(Table1[[#This Row],[ Age]]&lt;=59,"50-59","60 or more"))))</f>
        <v>30-49</v>
      </c>
      <c r="AC6" s="8">
        <f ca="1">IF(ISBLANK(Table1[[#This Row],[DateofTermination]]),DATEDIF(Table1[[#This Row],[DateofHire]],TODAY(), "M"),DATEDIF(Table1[[#This Row],[DateofHire]],Table1[[#This Row],[DateofTermination]],"M"))/12</f>
        <v>5.083333333333333</v>
      </c>
      <c r="AD6" t="str">
        <f>IF(Table1[[#This Row],[EmpSatisfaction]]=1,"Very Dissatisfied", IF(Table1[[#This Row],[EmpSatisfaction]] = 2, "Dissatisfied", IF(Table1[[#This Row],[EmpSatisfaction]]  = 3, "Neutral", IF(Table1[[#This Row],[EmpSatisfaction]] = 4, "Satisfied", IF(Table1[[#This Row],[EmpSatisfaction]]=5,"Very Satisfied", " ")))))</f>
        <v>Satisfied</v>
      </c>
      <c r="AE6">
        <f>YEAR(Table1[[#This Row],[DateofHire]])</f>
        <v>2011</v>
      </c>
      <c r="AF6" t="s">
        <v>535</v>
      </c>
    </row>
    <row r="7" spans="1:32" x14ac:dyDescent="0.3">
      <c r="A7" t="s">
        <v>46</v>
      </c>
      <c r="B7">
        <v>10002</v>
      </c>
      <c r="C7" t="s">
        <v>474</v>
      </c>
      <c r="D7" t="s">
        <v>489</v>
      </c>
      <c r="E7">
        <v>10002</v>
      </c>
      <c r="F7" s="1">
        <v>40917</v>
      </c>
      <c r="G7" s="7">
        <v>57568</v>
      </c>
      <c r="H7" t="s">
        <v>499</v>
      </c>
      <c r="I7" s="1">
        <v>28267</v>
      </c>
      <c r="J7" t="s">
        <v>22</v>
      </c>
      <c r="K7" t="s">
        <v>23</v>
      </c>
      <c r="L7" t="s">
        <v>24</v>
      </c>
      <c r="M7" t="s">
        <v>21</v>
      </c>
      <c r="N7">
        <v>1844</v>
      </c>
      <c r="P7" t="s">
        <v>512</v>
      </c>
      <c r="Q7" t="s">
        <v>25</v>
      </c>
      <c r="R7" t="s">
        <v>27</v>
      </c>
      <c r="S7" t="s">
        <v>28</v>
      </c>
      <c r="T7">
        <v>5</v>
      </c>
      <c r="U7">
        <v>5</v>
      </c>
      <c r="V7" s="1">
        <v>43472</v>
      </c>
      <c r="W7">
        <v>15</v>
      </c>
      <c r="X7" t="str">
        <f>INDEX(Position!B:B,MATCH(Table1[[#This Row],[Position ID]],Position!A:A, 0 ))</f>
        <v>Production Technician I</v>
      </c>
      <c r="Y7" t="str">
        <f>INDEX(Department!B:B,MATCH(Table1[[#This Row],[Department ID]],Department!A:A,0))</f>
        <v>Production</v>
      </c>
      <c r="Z7" t="str">
        <f>INDEX(Manager!B:B,MATCH(Table1[[#This Row],[Manger ID]],Manager!A:A,0))</f>
        <v>Amy Dunn</v>
      </c>
      <c r="AA7">
        <f ca="1">DATEDIF(Table1[[#This Row],[DOB]],TODAY(), "Y")</f>
        <v>46</v>
      </c>
      <c r="AB7" t="str">
        <f ca="1">IF(Table1[[#This Row],[ Age]]&lt;18,"Less than 18",IF(Table1[[#This Row],[ Age]]&lt;=29,"18-29",IF(Table1[[#This Row],[ Age]]&lt;=49,"30-49",IF(Table1[[#This Row],[ Age]]&lt;=59,"50-59","60 or more"))))</f>
        <v>30-49</v>
      </c>
      <c r="AC7" s="8">
        <f ca="1">IF(ISBLANK(Table1[[#This Row],[DateofTermination]]),DATEDIF(Table1[[#This Row],[DateofHire]],TODAY(), "M"),DATEDIF(Table1[[#This Row],[DateofHire]],Table1[[#This Row],[DateofTermination]],"M"))/12</f>
        <v>12.25</v>
      </c>
      <c r="AD7" t="str">
        <f>IF(Table1[[#This Row],[EmpSatisfaction]]=1,"Very Dissatisfied", IF(Table1[[#This Row],[EmpSatisfaction]] = 2, "Dissatisfied", IF(Table1[[#This Row],[EmpSatisfaction]]  = 3, "Neutral", IF(Table1[[#This Row],[EmpSatisfaction]] = 4, "Satisfied", IF(Table1[[#This Row],[EmpSatisfaction]]=5,"Very Satisfied", " ")))))</f>
        <v>Very Satisfied</v>
      </c>
      <c r="AE7">
        <f>YEAR(Table1[[#This Row],[DateofHire]])</f>
        <v>2012</v>
      </c>
      <c r="AF7" t="s">
        <v>25</v>
      </c>
    </row>
    <row r="8" spans="1:32" x14ac:dyDescent="0.3">
      <c r="A8" t="s">
        <v>48</v>
      </c>
      <c r="B8">
        <v>10194</v>
      </c>
      <c r="C8" t="s">
        <v>479</v>
      </c>
      <c r="D8" t="s">
        <v>491</v>
      </c>
      <c r="E8">
        <v>10194</v>
      </c>
      <c r="F8" s="1">
        <v>41953</v>
      </c>
      <c r="G8" s="7">
        <v>95660</v>
      </c>
      <c r="H8" t="s">
        <v>499</v>
      </c>
      <c r="I8" s="1">
        <v>28999</v>
      </c>
      <c r="J8" t="s">
        <v>22</v>
      </c>
      <c r="K8" t="s">
        <v>23</v>
      </c>
      <c r="L8" t="s">
        <v>24</v>
      </c>
      <c r="M8" t="s">
        <v>21</v>
      </c>
      <c r="N8">
        <v>2110</v>
      </c>
      <c r="P8" t="s">
        <v>512</v>
      </c>
      <c r="Q8" t="s">
        <v>25</v>
      </c>
      <c r="R8" t="s">
        <v>27</v>
      </c>
      <c r="S8" t="s">
        <v>36</v>
      </c>
      <c r="T8">
        <v>3.04</v>
      </c>
      <c r="U8">
        <v>3</v>
      </c>
      <c r="V8" s="1">
        <v>43467</v>
      </c>
      <c r="W8">
        <v>19</v>
      </c>
      <c r="X8" t="str">
        <f>INDEX(Position!B:B,MATCH(Table1[[#This Row],[Position ID]],Position!A:A, 0 ))</f>
        <v>Software Engineer</v>
      </c>
      <c r="Y8" t="str">
        <f>INDEX(Department!B:B,MATCH(Table1[[#This Row],[Department ID]],Department!A:A,0))</f>
        <v>Software Engineering</v>
      </c>
      <c r="Z8" t="str">
        <f>INDEX(Manager!B:B,MATCH(Table1[[#This Row],[Manger ID]],Manager!A:A,0))</f>
        <v>Alex Sweetwater</v>
      </c>
      <c r="AA8">
        <f ca="1">DATEDIF(Table1[[#This Row],[DOB]],TODAY(), "Y")</f>
        <v>44</v>
      </c>
      <c r="AB8" t="str">
        <f ca="1">IF(Table1[[#This Row],[ Age]]&lt;18,"Less than 18",IF(Table1[[#This Row],[ Age]]&lt;=29,"18-29",IF(Table1[[#This Row],[ Age]]&lt;=49,"30-49",IF(Table1[[#This Row],[ Age]]&lt;=59,"50-59","60 or more"))))</f>
        <v>30-49</v>
      </c>
      <c r="AC8" s="8">
        <f ca="1">IF(ISBLANK(Table1[[#This Row],[DateofTermination]]),DATEDIF(Table1[[#This Row],[DateofHire]],TODAY(), "M"),DATEDIF(Table1[[#This Row],[DateofHire]],Table1[[#This Row],[DateofTermination]],"M"))/12</f>
        <v>9.3333333333333339</v>
      </c>
      <c r="AD8" t="str">
        <f>IF(Table1[[#This Row],[EmpSatisfaction]]=1,"Very Dissatisfied", IF(Table1[[#This Row],[EmpSatisfaction]] = 2, "Dissatisfied", IF(Table1[[#This Row],[EmpSatisfaction]]  = 3, "Neutral", IF(Table1[[#This Row],[EmpSatisfaction]] = 4, "Satisfied", IF(Table1[[#This Row],[EmpSatisfaction]]=5,"Very Satisfied", " ")))))</f>
        <v>Neutral</v>
      </c>
      <c r="AE8">
        <f>YEAR(Table1[[#This Row],[DateofHire]])</f>
        <v>2014</v>
      </c>
      <c r="AF8" t="s">
        <v>25</v>
      </c>
    </row>
    <row r="9" spans="1:32" x14ac:dyDescent="0.3">
      <c r="A9" t="s">
        <v>52</v>
      </c>
      <c r="B9">
        <v>10062</v>
      </c>
      <c r="C9" t="s">
        <v>474</v>
      </c>
      <c r="D9" t="s">
        <v>489</v>
      </c>
      <c r="E9">
        <v>10062</v>
      </c>
      <c r="F9" s="1">
        <v>41547</v>
      </c>
      <c r="G9" s="7">
        <v>59365</v>
      </c>
      <c r="H9" t="s">
        <v>498</v>
      </c>
      <c r="I9" s="1">
        <v>30365</v>
      </c>
      <c r="J9" t="s">
        <v>53</v>
      </c>
      <c r="K9" t="s">
        <v>23</v>
      </c>
      <c r="L9" t="s">
        <v>24</v>
      </c>
      <c r="M9" t="s">
        <v>21</v>
      </c>
      <c r="N9">
        <v>2199</v>
      </c>
      <c r="P9" t="s">
        <v>512</v>
      </c>
      <c r="Q9" t="s">
        <v>25</v>
      </c>
      <c r="R9" t="s">
        <v>55</v>
      </c>
      <c r="S9" t="s">
        <v>36</v>
      </c>
      <c r="T9">
        <v>5</v>
      </c>
      <c r="U9">
        <v>4</v>
      </c>
      <c r="V9" s="1">
        <v>43521</v>
      </c>
      <c r="W9">
        <v>19</v>
      </c>
      <c r="X9" t="str">
        <f>INDEX(Position!B:B,MATCH(Table1[[#This Row],[Position ID]],Position!A:A, 0 ))</f>
        <v>Production Technician I</v>
      </c>
      <c r="Y9" t="str">
        <f>INDEX(Department!B:B,MATCH(Table1[[#This Row],[Department ID]],Department!A:A,0))</f>
        <v>Production</v>
      </c>
      <c r="Z9" t="str">
        <f>INDEX(Manager!B:B,MATCH(Table1[[#This Row],[Manger ID]],Manager!A:A,0))</f>
        <v>Ketsia Liebig</v>
      </c>
      <c r="AA9">
        <f ca="1">DATEDIF(Table1[[#This Row],[DOB]],TODAY(), "Y")</f>
        <v>41</v>
      </c>
      <c r="AB9" t="str">
        <f ca="1">IF(Table1[[#This Row],[ Age]]&lt;18,"Less than 18",IF(Table1[[#This Row],[ Age]]&lt;=29,"18-29",IF(Table1[[#This Row],[ Age]]&lt;=49,"30-49",IF(Table1[[#This Row],[ Age]]&lt;=59,"50-59","60 or more"))))</f>
        <v>30-49</v>
      </c>
      <c r="AC9" s="8">
        <f ca="1">IF(ISBLANK(Table1[[#This Row],[DateofTermination]]),DATEDIF(Table1[[#This Row],[DateofHire]],TODAY(), "M"),DATEDIF(Table1[[#This Row],[DateofHire]],Table1[[#This Row],[DateofTermination]],"M"))/12</f>
        <v>10.5</v>
      </c>
      <c r="AD9" t="str">
        <f>IF(Table1[[#This Row],[EmpSatisfaction]]=1,"Very Dissatisfied", IF(Table1[[#This Row],[EmpSatisfaction]] = 2, "Dissatisfied", IF(Table1[[#This Row],[EmpSatisfaction]]  = 3, "Neutral", IF(Table1[[#This Row],[EmpSatisfaction]] = 4, "Satisfied", IF(Table1[[#This Row],[EmpSatisfaction]]=5,"Very Satisfied", " ")))))</f>
        <v>Satisfied</v>
      </c>
      <c r="AE9">
        <f>YEAR(Table1[[#This Row],[DateofHire]])</f>
        <v>2013</v>
      </c>
      <c r="AF9" t="s">
        <v>25</v>
      </c>
    </row>
    <row r="10" spans="1:32" x14ac:dyDescent="0.3">
      <c r="A10" t="s">
        <v>56</v>
      </c>
      <c r="B10">
        <v>10114</v>
      </c>
      <c r="C10" t="s">
        <v>474</v>
      </c>
      <c r="D10" t="s">
        <v>489</v>
      </c>
      <c r="E10">
        <v>10114</v>
      </c>
      <c r="F10" s="1">
        <v>40000</v>
      </c>
      <c r="G10" s="7">
        <v>47837</v>
      </c>
      <c r="H10" t="s">
        <v>499</v>
      </c>
      <c r="I10" s="1">
        <v>25610</v>
      </c>
      <c r="J10" t="s">
        <v>22</v>
      </c>
      <c r="K10" t="s">
        <v>23</v>
      </c>
      <c r="L10" t="s">
        <v>57</v>
      </c>
      <c r="M10" t="s">
        <v>21</v>
      </c>
      <c r="N10">
        <v>1902</v>
      </c>
      <c r="P10" t="s">
        <v>512</v>
      </c>
      <c r="Q10" t="s">
        <v>25</v>
      </c>
      <c r="R10" t="s">
        <v>59</v>
      </c>
      <c r="S10" t="s">
        <v>36</v>
      </c>
      <c r="T10">
        <v>4.46</v>
      </c>
      <c r="U10">
        <v>3</v>
      </c>
      <c r="V10" s="1">
        <v>43490</v>
      </c>
      <c r="W10">
        <v>4</v>
      </c>
      <c r="X10" t="str">
        <f>INDEX(Position!B:B,MATCH(Table1[[#This Row],[Position ID]],Position!A:A, 0 ))</f>
        <v>Production Technician I</v>
      </c>
      <c r="Y10" t="str">
        <f>INDEX(Department!B:B,MATCH(Table1[[#This Row],[Department ID]],Department!A:A,0))</f>
        <v>Production</v>
      </c>
      <c r="Z10" t="str">
        <f>INDEX(Manager!B:B,MATCH(Table1[[#This Row],[Manger ID]],Manager!A:A,0))</f>
        <v>Brannon Miller</v>
      </c>
      <c r="AA10">
        <f ca="1">DATEDIF(Table1[[#This Row],[DOB]],TODAY(), "Y")</f>
        <v>54</v>
      </c>
      <c r="AB10" t="str">
        <f ca="1">IF(Table1[[#This Row],[ Age]]&lt;18,"Less than 18",IF(Table1[[#This Row],[ Age]]&lt;=29,"18-29",IF(Table1[[#This Row],[ Age]]&lt;=49,"30-49",IF(Table1[[#This Row],[ Age]]&lt;=59,"50-59","60 or more"))))</f>
        <v>50-59</v>
      </c>
      <c r="AC10" s="8">
        <f ca="1">IF(ISBLANK(Table1[[#This Row],[DateofTermination]]),DATEDIF(Table1[[#This Row],[DateofHire]],TODAY(), "M"),DATEDIF(Table1[[#This Row],[DateofHire]],Table1[[#This Row],[DateofTermination]],"M"))/12</f>
        <v>14.75</v>
      </c>
      <c r="AD10" t="str">
        <f>IF(Table1[[#This Row],[EmpSatisfaction]]=1,"Very Dissatisfied", IF(Table1[[#This Row],[EmpSatisfaction]] = 2, "Dissatisfied", IF(Table1[[#This Row],[EmpSatisfaction]]  = 3, "Neutral", IF(Table1[[#This Row],[EmpSatisfaction]] = 4, "Satisfied", IF(Table1[[#This Row],[EmpSatisfaction]]=5,"Very Satisfied", " ")))))</f>
        <v>Neutral</v>
      </c>
      <c r="AE10">
        <f>YEAR(Table1[[#This Row],[DateofHire]])</f>
        <v>2009</v>
      </c>
      <c r="AF10" t="s">
        <v>25</v>
      </c>
    </row>
    <row r="11" spans="1:32" x14ac:dyDescent="0.3">
      <c r="A11" t="s">
        <v>60</v>
      </c>
      <c r="B11">
        <v>10250</v>
      </c>
      <c r="C11" t="s">
        <v>469</v>
      </c>
      <c r="D11" t="s">
        <v>488</v>
      </c>
      <c r="E11">
        <v>10250</v>
      </c>
      <c r="F11" s="1">
        <v>42009</v>
      </c>
      <c r="G11" s="7">
        <v>50178</v>
      </c>
      <c r="H11" t="s">
        <v>498</v>
      </c>
      <c r="I11" s="1">
        <v>32149</v>
      </c>
      <c r="J11" t="s">
        <v>43</v>
      </c>
      <c r="K11" t="s">
        <v>23</v>
      </c>
      <c r="L11" t="s">
        <v>24</v>
      </c>
      <c r="M11" t="s">
        <v>21</v>
      </c>
      <c r="N11">
        <v>1886</v>
      </c>
      <c r="P11" t="s">
        <v>512</v>
      </c>
      <c r="Q11" t="s">
        <v>25</v>
      </c>
      <c r="R11" t="s">
        <v>35</v>
      </c>
      <c r="S11" t="s">
        <v>36</v>
      </c>
      <c r="T11">
        <v>5</v>
      </c>
      <c r="U11">
        <v>5</v>
      </c>
      <c r="V11" s="1">
        <v>43514</v>
      </c>
      <c r="W11">
        <v>16</v>
      </c>
      <c r="X11" t="str">
        <f>INDEX(Position!B:B,MATCH(Table1[[#This Row],[Position ID]],Position!A:A, 0 ))</f>
        <v>IT Support</v>
      </c>
      <c r="Y11" t="str">
        <f>INDEX(Department!B:B,MATCH(Table1[[#This Row],[Department ID]],Department!A:A,0))</f>
        <v>IT/IS</v>
      </c>
      <c r="Z11" t="str">
        <f>INDEX(Manager!B:B,MATCH(Table1[[#This Row],[Manger ID]],Manager!A:A,0))</f>
        <v>Peter Monroe</v>
      </c>
      <c r="AA11">
        <f ca="1">DATEDIF(Table1[[#This Row],[DOB]],TODAY(), "Y")</f>
        <v>36</v>
      </c>
      <c r="AB11" t="str">
        <f ca="1">IF(Table1[[#This Row],[ Age]]&lt;18,"Less than 18",IF(Table1[[#This Row],[ Age]]&lt;=29,"18-29",IF(Table1[[#This Row],[ Age]]&lt;=49,"30-49",IF(Table1[[#This Row],[ Age]]&lt;=59,"50-59","60 or more"))))</f>
        <v>30-49</v>
      </c>
      <c r="AC11" s="8">
        <f ca="1">IF(ISBLANK(Table1[[#This Row],[DateofTermination]]),DATEDIF(Table1[[#This Row],[DateofHire]],TODAY(), "M"),DATEDIF(Table1[[#This Row],[DateofHire]],Table1[[#This Row],[DateofTermination]],"M"))/12</f>
        <v>9.25</v>
      </c>
      <c r="AD11" t="str">
        <f>IF(Table1[[#This Row],[EmpSatisfaction]]=1,"Very Dissatisfied", IF(Table1[[#This Row],[EmpSatisfaction]] = 2, "Dissatisfied", IF(Table1[[#This Row],[EmpSatisfaction]]  = 3, "Neutral", IF(Table1[[#This Row],[EmpSatisfaction]] = 4, "Satisfied", IF(Table1[[#This Row],[EmpSatisfaction]]=5,"Very Satisfied", " ")))))</f>
        <v>Very Satisfied</v>
      </c>
      <c r="AE11">
        <f>YEAR(Table1[[#This Row],[DateofHire]])</f>
        <v>2015</v>
      </c>
      <c r="AF11" t="s">
        <v>25</v>
      </c>
    </row>
    <row r="12" spans="1:32" hidden="1" x14ac:dyDescent="0.3">
      <c r="A12" t="s">
        <v>63</v>
      </c>
      <c r="B12">
        <v>10252</v>
      </c>
      <c r="C12" t="s">
        <v>474</v>
      </c>
      <c r="D12" t="s">
        <v>489</v>
      </c>
      <c r="E12">
        <v>10252</v>
      </c>
      <c r="F12" s="1">
        <v>40553</v>
      </c>
      <c r="G12" s="7">
        <v>54670</v>
      </c>
      <c r="H12" t="s">
        <v>499</v>
      </c>
      <c r="I12" s="1">
        <v>27041</v>
      </c>
      <c r="J12" t="s">
        <v>31</v>
      </c>
      <c r="K12" t="s">
        <v>23</v>
      </c>
      <c r="L12" t="s">
        <v>57</v>
      </c>
      <c r="M12" t="s">
        <v>21</v>
      </c>
      <c r="N12">
        <v>1902</v>
      </c>
      <c r="O12" s="1">
        <v>42747</v>
      </c>
      <c r="P12" t="s">
        <v>516</v>
      </c>
      <c r="Q12" t="s">
        <v>32</v>
      </c>
      <c r="R12" t="s">
        <v>59</v>
      </c>
      <c r="S12" t="s">
        <v>36</v>
      </c>
      <c r="T12">
        <v>4.2</v>
      </c>
      <c r="U12">
        <v>4</v>
      </c>
      <c r="V12" s="1">
        <v>42399</v>
      </c>
      <c r="W12">
        <v>12</v>
      </c>
      <c r="X12" t="str">
        <f>INDEX(Position!B:B,MATCH(Table1[[#This Row],[Position ID]],Position!A:A, 0 ))</f>
        <v>Production Technician I</v>
      </c>
      <c r="Y12" t="str">
        <f>INDEX(Department!B:B,MATCH(Table1[[#This Row],[Department ID]],Department!A:A,0))</f>
        <v>Production</v>
      </c>
      <c r="Z12" t="str">
        <f>INDEX(Manager!B:B,MATCH(Table1[[#This Row],[Manger ID]],Manager!A:A,0))</f>
        <v>David Stanley</v>
      </c>
      <c r="AA12">
        <f ca="1">DATEDIF(Table1[[#This Row],[DOB]],TODAY(), "Y")</f>
        <v>50</v>
      </c>
      <c r="AB12" t="str">
        <f ca="1">IF(Table1[[#This Row],[ Age]]&lt;18,"Less than 18",IF(Table1[[#This Row],[ Age]]&lt;=29,"18-29",IF(Table1[[#This Row],[ Age]]&lt;=49,"30-49",IF(Table1[[#This Row],[ Age]]&lt;=59,"50-59","60 or more"))))</f>
        <v>50-59</v>
      </c>
      <c r="AC12" s="8">
        <f ca="1">IF(ISBLANK(Table1[[#This Row],[DateofTermination]]),DATEDIF(Table1[[#This Row],[DateofHire]],TODAY(), "M"),DATEDIF(Table1[[#This Row],[DateofHire]],Table1[[#This Row],[DateofTermination]],"M"))/12</f>
        <v>6</v>
      </c>
      <c r="AD12" t="str">
        <f>IF(Table1[[#This Row],[EmpSatisfaction]]=1,"Very Dissatisfied", IF(Table1[[#This Row],[EmpSatisfaction]] = 2, "Dissatisfied", IF(Table1[[#This Row],[EmpSatisfaction]]  = 3, "Neutral", IF(Table1[[#This Row],[EmpSatisfaction]] = 4, "Satisfied", IF(Table1[[#This Row],[EmpSatisfaction]]=5,"Very Satisfied", " ")))))</f>
        <v>Satisfied</v>
      </c>
      <c r="AE12">
        <f>YEAR(Table1[[#This Row],[DateofHire]])</f>
        <v>2011</v>
      </c>
      <c r="AF12" t="s">
        <v>535</v>
      </c>
    </row>
    <row r="13" spans="1:32" hidden="1" x14ac:dyDescent="0.3">
      <c r="A13" t="s">
        <v>65</v>
      </c>
      <c r="B13">
        <v>10242</v>
      </c>
      <c r="C13" t="s">
        <v>474</v>
      </c>
      <c r="D13" t="s">
        <v>489</v>
      </c>
      <c r="E13">
        <v>10196</v>
      </c>
      <c r="F13" s="1">
        <v>41001</v>
      </c>
      <c r="G13" s="7">
        <v>47211</v>
      </c>
      <c r="H13" t="s">
        <v>498</v>
      </c>
      <c r="I13" s="1">
        <v>27081</v>
      </c>
      <c r="J13" t="s">
        <v>31</v>
      </c>
      <c r="K13" t="s">
        <v>23</v>
      </c>
      <c r="L13" t="s">
        <v>57</v>
      </c>
      <c r="M13" t="s">
        <v>21</v>
      </c>
      <c r="N13">
        <v>2062</v>
      </c>
      <c r="O13" s="1">
        <v>42632</v>
      </c>
      <c r="P13" t="s">
        <v>517</v>
      </c>
      <c r="Q13" t="s">
        <v>32</v>
      </c>
      <c r="R13" t="s">
        <v>59</v>
      </c>
      <c r="S13" t="s">
        <v>36</v>
      </c>
      <c r="T13">
        <v>4.2</v>
      </c>
      <c r="U13">
        <v>3</v>
      </c>
      <c r="V13" s="1">
        <v>42496</v>
      </c>
      <c r="W13">
        <v>15</v>
      </c>
      <c r="X13" t="str">
        <f>INDEX(Position!B:B,MATCH(Table1[[#This Row],[Position ID]],Position!A:A, 0 ))</f>
        <v>Production Technician I</v>
      </c>
      <c r="Y13" t="str">
        <f>INDEX(Department!B:B,MATCH(Table1[[#This Row],[Department ID]],Department!A:A,0))</f>
        <v>Production</v>
      </c>
      <c r="Z13" t="str">
        <f>INDEX(Manager!B:B,MATCH(Table1[[#This Row],[Manger ID]],Manager!A:A,0))</f>
        <v>Kissy Sullivan</v>
      </c>
      <c r="AA13">
        <f ca="1">DATEDIF(Table1[[#This Row],[DOB]],TODAY(), "Y")</f>
        <v>50</v>
      </c>
      <c r="AB13" t="str">
        <f ca="1">IF(Table1[[#This Row],[ Age]]&lt;18,"Less than 18",IF(Table1[[#This Row],[ Age]]&lt;=29,"18-29",IF(Table1[[#This Row],[ Age]]&lt;=49,"30-49",IF(Table1[[#This Row],[ Age]]&lt;=59,"50-59","60 or more"))))</f>
        <v>50-59</v>
      </c>
      <c r="AC13" s="8">
        <f ca="1">IF(ISBLANK(Table1[[#This Row],[DateofTermination]]),DATEDIF(Table1[[#This Row],[DateofHire]],TODAY(), "M"),DATEDIF(Table1[[#This Row],[DateofHire]],Table1[[#This Row],[DateofTermination]],"M"))/12</f>
        <v>4.416666666666667</v>
      </c>
      <c r="AD13" t="str">
        <f>IF(Table1[[#This Row],[EmpSatisfaction]]=1,"Very Dissatisfied", IF(Table1[[#This Row],[EmpSatisfaction]] = 2, "Dissatisfied", IF(Table1[[#This Row],[EmpSatisfaction]]  = 3, "Neutral", IF(Table1[[#This Row],[EmpSatisfaction]] = 4, "Satisfied", IF(Table1[[#This Row],[EmpSatisfaction]]=5,"Very Satisfied", " ")))))</f>
        <v>Neutral</v>
      </c>
      <c r="AE13">
        <f>YEAR(Table1[[#This Row],[DateofHire]])</f>
        <v>2012</v>
      </c>
      <c r="AF13" t="s">
        <v>535</v>
      </c>
    </row>
    <row r="14" spans="1:32" x14ac:dyDescent="0.3">
      <c r="A14" t="s">
        <v>66</v>
      </c>
      <c r="B14">
        <v>10012</v>
      </c>
      <c r="C14" t="s">
        <v>458</v>
      </c>
      <c r="D14" t="s">
        <v>488</v>
      </c>
      <c r="E14">
        <v>10084</v>
      </c>
      <c r="F14" s="1">
        <v>41953</v>
      </c>
      <c r="G14" s="7">
        <v>92328</v>
      </c>
      <c r="H14" t="s">
        <v>498</v>
      </c>
      <c r="I14" s="1">
        <v>32328</v>
      </c>
      <c r="J14" t="s">
        <v>43</v>
      </c>
      <c r="K14" t="s">
        <v>23</v>
      </c>
      <c r="L14" t="s">
        <v>57</v>
      </c>
      <c r="M14" t="s">
        <v>68</v>
      </c>
      <c r="N14">
        <v>78230</v>
      </c>
      <c r="P14" t="s">
        <v>512</v>
      </c>
      <c r="Q14" t="s">
        <v>25</v>
      </c>
      <c r="R14" t="s">
        <v>59</v>
      </c>
      <c r="S14" t="s">
        <v>28</v>
      </c>
      <c r="T14">
        <v>4.28</v>
      </c>
      <c r="U14">
        <v>4</v>
      </c>
      <c r="V14" s="1">
        <v>43521</v>
      </c>
      <c r="W14">
        <v>9</v>
      </c>
      <c r="X14" t="str">
        <f>INDEX(Position!B:B,MATCH(Table1[[#This Row],[Position ID]],Position!A:A, 0 ))</f>
        <v>Data Analyst</v>
      </c>
      <c r="Y14" t="str">
        <f>INDEX(Department!B:B,MATCH(Table1[[#This Row],[Department ID]],Department!A:A,0))</f>
        <v>IT/IS</v>
      </c>
      <c r="Z14" t="str">
        <f>INDEX(Manager!B:B,MATCH(Table1[[#This Row],[Manger ID]],Manager!A:A,0))</f>
        <v>Simon Roup</v>
      </c>
      <c r="AA14">
        <f ca="1">DATEDIF(Table1[[#This Row],[DOB]],TODAY(), "Y")</f>
        <v>35</v>
      </c>
      <c r="AB14" t="str">
        <f ca="1">IF(Table1[[#This Row],[ Age]]&lt;18,"Less than 18",IF(Table1[[#This Row],[ Age]]&lt;=29,"18-29",IF(Table1[[#This Row],[ Age]]&lt;=49,"30-49",IF(Table1[[#This Row],[ Age]]&lt;=59,"50-59","60 or more"))))</f>
        <v>30-49</v>
      </c>
      <c r="AC14" s="8">
        <f ca="1">IF(ISBLANK(Table1[[#This Row],[DateofTermination]]),DATEDIF(Table1[[#This Row],[DateofHire]],TODAY(), "M"),DATEDIF(Table1[[#This Row],[DateofHire]],Table1[[#This Row],[DateofTermination]],"M"))/12</f>
        <v>9.3333333333333339</v>
      </c>
      <c r="AD14" t="str">
        <f>IF(Table1[[#This Row],[EmpSatisfaction]]=1,"Very Dissatisfied", IF(Table1[[#This Row],[EmpSatisfaction]] = 2, "Dissatisfied", IF(Table1[[#This Row],[EmpSatisfaction]]  = 3, "Neutral", IF(Table1[[#This Row],[EmpSatisfaction]] = 4, "Satisfied", IF(Table1[[#This Row],[EmpSatisfaction]]=5,"Very Satisfied", " ")))))</f>
        <v>Satisfied</v>
      </c>
      <c r="AE14">
        <f>YEAR(Table1[[#This Row],[DateofHire]])</f>
        <v>2014</v>
      </c>
      <c r="AF14" t="s">
        <v>25</v>
      </c>
    </row>
    <row r="15" spans="1:32" x14ac:dyDescent="0.3">
      <c r="A15" t="s">
        <v>69</v>
      </c>
      <c r="B15">
        <v>10265</v>
      </c>
      <c r="C15" t="s">
        <v>474</v>
      </c>
      <c r="D15" t="s">
        <v>489</v>
      </c>
      <c r="E15">
        <v>10265</v>
      </c>
      <c r="F15" s="1">
        <v>40959</v>
      </c>
      <c r="G15" s="7">
        <v>58709</v>
      </c>
      <c r="H15" t="s">
        <v>498</v>
      </c>
      <c r="I15" s="1">
        <v>30517</v>
      </c>
      <c r="J15" t="s">
        <v>22</v>
      </c>
      <c r="K15" t="s">
        <v>23</v>
      </c>
      <c r="L15" t="s">
        <v>70</v>
      </c>
      <c r="M15" t="s">
        <v>21</v>
      </c>
      <c r="N15">
        <v>1810</v>
      </c>
      <c r="P15" t="s">
        <v>512</v>
      </c>
      <c r="Q15" t="s">
        <v>25</v>
      </c>
      <c r="R15" t="s">
        <v>45</v>
      </c>
      <c r="S15" t="s">
        <v>36</v>
      </c>
      <c r="T15">
        <v>4.5999999999999996</v>
      </c>
      <c r="U15">
        <v>4</v>
      </c>
      <c r="V15" s="1">
        <v>43510</v>
      </c>
      <c r="W15">
        <v>7</v>
      </c>
      <c r="X15" t="str">
        <f>INDEX(Position!B:B,MATCH(Table1[[#This Row],[Position ID]],Position!A:A, 0 ))</f>
        <v>Production Technician I</v>
      </c>
      <c r="Y15" t="str">
        <f>INDEX(Department!B:B,MATCH(Table1[[#This Row],[Department ID]],Department!A:A,0))</f>
        <v>Production</v>
      </c>
      <c r="Z15" t="str">
        <f>INDEX(Manager!B:B,MATCH(Table1[[#This Row],[Manger ID]],Manager!A:A,0))</f>
        <v>Kelley Spirea</v>
      </c>
      <c r="AA15">
        <f ca="1">DATEDIF(Table1[[#This Row],[DOB]],TODAY(), "Y")</f>
        <v>40</v>
      </c>
      <c r="AB15" t="str">
        <f ca="1">IF(Table1[[#This Row],[ Age]]&lt;18,"Less than 18",IF(Table1[[#This Row],[ Age]]&lt;=29,"18-29",IF(Table1[[#This Row],[ Age]]&lt;=49,"30-49",IF(Table1[[#This Row],[ Age]]&lt;=59,"50-59","60 or more"))))</f>
        <v>30-49</v>
      </c>
      <c r="AC15" s="8">
        <f ca="1">IF(ISBLANK(Table1[[#This Row],[DateofTermination]]),DATEDIF(Table1[[#This Row],[DateofHire]],TODAY(), "M"),DATEDIF(Table1[[#This Row],[DateofHire]],Table1[[#This Row],[DateofTermination]],"M"))/12</f>
        <v>12.083333333333334</v>
      </c>
      <c r="AD15" t="str">
        <f>IF(Table1[[#This Row],[EmpSatisfaction]]=1,"Very Dissatisfied", IF(Table1[[#This Row],[EmpSatisfaction]] = 2, "Dissatisfied", IF(Table1[[#This Row],[EmpSatisfaction]]  = 3, "Neutral", IF(Table1[[#This Row],[EmpSatisfaction]] = 4, "Satisfied", IF(Table1[[#This Row],[EmpSatisfaction]]=5,"Very Satisfied", " ")))))</f>
        <v>Satisfied</v>
      </c>
      <c r="AE15">
        <f>YEAR(Table1[[#This Row],[DateofHire]])</f>
        <v>2012</v>
      </c>
      <c r="AF15" t="s">
        <v>25</v>
      </c>
    </row>
    <row r="16" spans="1:32" hidden="1" x14ac:dyDescent="0.3">
      <c r="A16" t="s">
        <v>72</v>
      </c>
      <c r="B16">
        <v>10066</v>
      </c>
      <c r="C16" t="s">
        <v>474</v>
      </c>
      <c r="D16" t="s">
        <v>489</v>
      </c>
      <c r="E16">
        <v>10026</v>
      </c>
      <c r="F16" s="1">
        <v>41176</v>
      </c>
      <c r="G16" s="7">
        <v>52505</v>
      </c>
      <c r="H16" t="s">
        <v>498</v>
      </c>
      <c r="I16" s="1">
        <v>28321</v>
      </c>
      <c r="J16" t="s">
        <v>43</v>
      </c>
      <c r="K16" t="s">
        <v>23</v>
      </c>
      <c r="L16" t="s">
        <v>24</v>
      </c>
      <c r="M16" t="s">
        <v>21</v>
      </c>
      <c r="N16">
        <v>2747</v>
      </c>
      <c r="O16" s="1">
        <v>42831</v>
      </c>
      <c r="P16" t="s">
        <v>516</v>
      </c>
      <c r="Q16" t="s">
        <v>32</v>
      </c>
      <c r="R16" t="s">
        <v>73</v>
      </c>
      <c r="S16" t="s">
        <v>36</v>
      </c>
      <c r="T16">
        <v>5</v>
      </c>
      <c r="U16">
        <v>5</v>
      </c>
      <c r="V16" s="1">
        <v>42796</v>
      </c>
      <c r="W16">
        <v>1</v>
      </c>
      <c r="X16" t="str">
        <f>INDEX(Position!B:B,MATCH(Table1[[#This Row],[Position ID]],Position!A:A, 0 ))</f>
        <v>Production Technician I</v>
      </c>
      <c r="Y16" t="str">
        <f>INDEX(Department!B:B,MATCH(Table1[[#This Row],[Department ID]],Department!A:A,0))</f>
        <v>Production</v>
      </c>
      <c r="Z16" t="str">
        <f>INDEX(Manager!B:B,MATCH(Table1[[#This Row],[Manger ID]],Manager!A:A,0))</f>
        <v>Michael Albert</v>
      </c>
      <c r="AA16">
        <f ca="1">DATEDIF(Table1[[#This Row],[DOB]],TODAY(), "Y")</f>
        <v>46</v>
      </c>
      <c r="AB16" t="str">
        <f ca="1">IF(Table1[[#This Row],[ Age]]&lt;18,"Less than 18",IF(Table1[[#This Row],[ Age]]&lt;=29,"18-29",IF(Table1[[#This Row],[ Age]]&lt;=49,"30-49",IF(Table1[[#This Row],[ Age]]&lt;=59,"50-59","60 or more"))))</f>
        <v>30-49</v>
      </c>
      <c r="AC16" s="8">
        <f ca="1">IF(ISBLANK(Table1[[#This Row],[DateofTermination]]),DATEDIF(Table1[[#This Row],[DateofHire]],TODAY(), "M"),DATEDIF(Table1[[#This Row],[DateofHire]],Table1[[#This Row],[DateofTermination]],"M"))/12</f>
        <v>4.5</v>
      </c>
      <c r="AD16" t="str">
        <f>IF(Table1[[#This Row],[EmpSatisfaction]]=1,"Very Dissatisfied", IF(Table1[[#This Row],[EmpSatisfaction]] = 2, "Dissatisfied", IF(Table1[[#This Row],[EmpSatisfaction]]  = 3, "Neutral", IF(Table1[[#This Row],[EmpSatisfaction]] = 4, "Satisfied", IF(Table1[[#This Row],[EmpSatisfaction]]=5,"Very Satisfied", " ")))))</f>
        <v>Very Satisfied</v>
      </c>
      <c r="AE16">
        <f>YEAR(Table1[[#This Row],[DateofHire]])</f>
        <v>2012</v>
      </c>
      <c r="AF16" t="s">
        <v>535</v>
      </c>
    </row>
    <row r="17" spans="1:32" hidden="1" x14ac:dyDescent="0.3">
      <c r="A17" t="s">
        <v>74</v>
      </c>
      <c r="B17">
        <v>10061</v>
      </c>
      <c r="C17" t="s">
        <v>474</v>
      </c>
      <c r="D17" t="s">
        <v>489</v>
      </c>
      <c r="E17">
        <v>10265</v>
      </c>
      <c r="F17" s="1">
        <v>40595</v>
      </c>
      <c r="G17" s="7">
        <v>57834</v>
      </c>
      <c r="H17" t="s">
        <v>498</v>
      </c>
      <c r="I17" s="1">
        <v>29877</v>
      </c>
      <c r="J17" t="s">
        <v>22</v>
      </c>
      <c r="K17" t="s">
        <v>23</v>
      </c>
      <c r="L17" t="s">
        <v>24</v>
      </c>
      <c r="M17" t="s">
        <v>21</v>
      </c>
      <c r="N17">
        <v>2050</v>
      </c>
      <c r="O17" s="1">
        <v>42951</v>
      </c>
      <c r="P17" t="s">
        <v>518</v>
      </c>
      <c r="Q17" t="s">
        <v>75</v>
      </c>
      <c r="R17" t="s">
        <v>45</v>
      </c>
      <c r="S17" t="s">
        <v>36</v>
      </c>
      <c r="T17">
        <v>5</v>
      </c>
      <c r="U17">
        <v>4</v>
      </c>
      <c r="V17" s="1">
        <v>42830</v>
      </c>
      <c r="W17">
        <v>20</v>
      </c>
      <c r="X17" t="str">
        <f>INDEX(Position!B:B,MATCH(Table1[[#This Row],[Position ID]],Position!A:A, 0 ))</f>
        <v>Production Technician I</v>
      </c>
      <c r="Y17" t="str">
        <f>INDEX(Department!B:B,MATCH(Table1[[#This Row],[Department ID]],Department!A:A,0))</f>
        <v>Production</v>
      </c>
      <c r="Z17" t="str">
        <f>INDEX(Manager!B:B,MATCH(Table1[[#This Row],[Manger ID]],Manager!A:A,0))</f>
        <v>Kelley Spirea</v>
      </c>
      <c r="AA17">
        <f ca="1">DATEDIF(Table1[[#This Row],[DOB]],TODAY(), "Y")</f>
        <v>42</v>
      </c>
      <c r="AB17" t="str">
        <f ca="1">IF(Table1[[#This Row],[ Age]]&lt;18,"Less than 18",IF(Table1[[#This Row],[ Age]]&lt;=29,"18-29",IF(Table1[[#This Row],[ Age]]&lt;=49,"30-49",IF(Table1[[#This Row],[ Age]]&lt;=59,"50-59","60 or more"))))</f>
        <v>30-49</v>
      </c>
      <c r="AC17" s="8">
        <f ca="1">IF(ISBLANK(Table1[[#This Row],[DateofTermination]]),DATEDIF(Table1[[#This Row],[DateofHire]],TODAY(), "M"),DATEDIF(Table1[[#This Row],[DateofHire]],Table1[[#This Row],[DateofTermination]],"M"))/12</f>
        <v>6.416666666666667</v>
      </c>
      <c r="AD17" t="str">
        <f>IF(Table1[[#This Row],[EmpSatisfaction]]=1,"Very Dissatisfied", IF(Table1[[#This Row],[EmpSatisfaction]] = 2, "Dissatisfied", IF(Table1[[#This Row],[EmpSatisfaction]]  = 3, "Neutral", IF(Table1[[#This Row],[EmpSatisfaction]] = 4, "Satisfied", IF(Table1[[#This Row],[EmpSatisfaction]]=5,"Very Satisfied", " ")))))</f>
        <v>Satisfied</v>
      </c>
      <c r="AE17">
        <f>YEAR(Table1[[#This Row],[DateofHire]])</f>
        <v>2011</v>
      </c>
      <c r="AF17" t="s">
        <v>535</v>
      </c>
    </row>
    <row r="18" spans="1:32" x14ac:dyDescent="0.3">
      <c r="A18" t="s">
        <v>76</v>
      </c>
      <c r="B18">
        <v>10023</v>
      </c>
      <c r="C18" t="s">
        <v>475</v>
      </c>
      <c r="D18" t="s">
        <v>489</v>
      </c>
      <c r="E18">
        <v>10265</v>
      </c>
      <c r="F18" s="1">
        <v>42572</v>
      </c>
      <c r="G18" s="7">
        <v>70131</v>
      </c>
      <c r="H18" t="s">
        <v>499</v>
      </c>
      <c r="I18" s="1">
        <v>24214</v>
      </c>
      <c r="J18" t="s">
        <v>31</v>
      </c>
      <c r="K18" t="s">
        <v>23</v>
      </c>
      <c r="L18" t="s">
        <v>24</v>
      </c>
      <c r="M18" t="s">
        <v>21</v>
      </c>
      <c r="N18">
        <v>2145</v>
      </c>
      <c r="P18" t="s">
        <v>512</v>
      </c>
      <c r="Q18" t="s">
        <v>25</v>
      </c>
      <c r="R18" t="s">
        <v>55</v>
      </c>
      <c r="S18" t="s">
        <v>28</v>
      </c>
      <c r="T18">
        <v>4.4000000000000004</v>
      </c>
      <c r="U18">
        <v>3</v>
      </c>
      <c r="V18" s="1">
        <v>43479</v>
      </c>
      <c r="W18">
        <v>16</v>
      </c>
      <c r="X18" t="str">
        <f>INDEX(Position!B:B,MATCH(Table1[[#This Row],[Position ID]],Position!A:A, 0 ))</f>
        <v>Production Technician II</v>
      </c>
      <c r="Y18" t="str">
        <f>INDEX(Department!B:B,MATCH(Table1[[#This Row],[Department ID]],Department!A:A,0))</f>
        <v>Production</v>
      </c>
      <c r="Z18" t="str">
        <f>INDEX(Manager!B:B,MATCH(Table1[[#This Row],[Manger ID]],Manager!A:A,0))</f>
        <v>Kelley Spirea</v>
      </c>
      <c r="AA18">
        <f ca="1">DATEDIF(Table1[[#This Row],[DOB]],TODAY(), "Y")</f>
        <v>57</v>
      </c>
      <c r="AB18" t="str">
        <f ca="1">IF(Table1[[#This Row],[ Age]]&lt;18,"Less than 18",IF(Table1[[#This Row],[ Age]]&lt;=29,"18-29",IF(Table1[[#This Row],[ Age]]&lt;=49,"30-49",IF(Table1[[#This Row],[ Age]]&lt;=59,"50-59","60 or more"))))</f>
        <v>50-59</v>
      </c>
      <c r="AC18" s="8">
        <f ca="1">IF(ISBLANK(Table1[[#This Row],[DateofTermination]]),DATEDIF(Table1[[#This Row],[DateofHire]],TODAY(), "M"),DATEDIF(Table1[[#This Row],[DateofHire]],Table1[[#This Row],[DateofTermination]],"M"))/12</f>
        <v>7.666666666666667</v>
      </c>
      <c r="AD18" t="str">
        <f>IF(Table1[[#This Row],[EmpSatisfaction]]=1,"Very Dissatisfied", IF(Table1[[#This Row],[EmpSatisfaction]] = 2, "Dissatisfied", IF(Table1[[#This Row],[EmpSatisfaction]]  = 3, "Neutral", IF(Table1[[#This Row],[EmpSatisfaction]] = 4, "Satisfied", IF(Table1[[#This Row],[EmpSatisfaction]]=5,"Very Satisfied", " ")))))</f>
        <v>Neutral</v>
      </c>
      <c r="AE18">
        <f>YEAR(Table1[[#This Row],[DateofHire]])</f>
        <v>2016</v>
      </c>
      <c r="AF18" t="s">
        <v>25</v>
      </c>
    </row>
    <row r="19" spans="1:32" x14ac:dyDescent="0.3">
      <c r="A19" t="s">
        <v>77</v>
      </c>
      <c r="B19">
        <v>10055</v>
      </c>
      <c r="C19" t="s">
        <v>474</v>
      </c>
      <c r="D19" t="s">
        <v>489</v>
      </c>
      <c r="E19">
        <v>10088</v>
      </c>
      <c r="F19" s="1">
        <v>40637</v>
      </c>
      <c r="G19" s="7">
        <v>59026</v>
      </c>
      <c r="H19" t="s">
        <v>499</v>
      </c>
      <c r="I19" s="1">
        <v>25868</v>
      </c>
      <c r="J19" t="s">
        <v>22</v>
      </c>
      <c r="K19" t="s">
        <v>78</v>
      </c>
      <c r="L19" t="s">
        <v>24</v>
      </c>
      <c r="M19" t="s">
        <v>21</v>
      </c>
      <c r="N19">
        <v>1915</v>
      </c>
      <c r="P19" t="s">
        <v>512</v>
      </c>
      <c r="Q19" t="s">
        <v>25</v>
      </c>
      <c r="R19" t="s">
        <v>45</v>
      </c>
      <c r="S19" t="s">
        <v>36</v>
      </c>
      <c r="T19">
        <v>5</v>
      </c>
      <c r="U19">
        <v>5</v>
      </c>
      <c r="V19" s="1">
        <v>43479</v>
      </c>
      <c r="W19">
        <v>12</v>
      </c>
      <c r="X19" t="str">
        <f>INDEX(Position!B:B,MATCH(Table1[[#This Row],[Position ID]],Position!A:A, 0 ))</f>
        <v>Production Technician I</v>
      </c>
      <c r="Y19" t="str">
        <f>INDEX(Department!B:B,MATCH(Table1[[#This Row],[Department ID]],Department!A:A,0))</f>
        <v>Production</v>
      </c>
      <c r="Z19" t="str">
        <f>INDEX(Manager!B:B,MATCH(Table1[[#This Row],[Manger ID]],Manager!A:A,0))</f>
        <v>Elijiah Gray</v>
      </c>
      <c r="AA19">
        <f ca="1">DATEDIF(Table1[[#This Row],[DOB]],TODAY(), "Y")</f>
        <v>53</v>
      </c>
      <c r="AB19" t="str">
        <f ca="1">IF(Table1[[#This Row],[ Age]]&lt;18,"Less than 18",IF(Table1[[#This Row],[ Age]]&lt;=29,"18-29",IF(Table1[[#This Row],[ Age]]&lt;=49,"30-49",IF(Table1[[#This Row],[ Age]]&lt;=59,"50-59","60 or more"))))</f>
        <v>50-59</v>
      </c>
      <c r="AC19" s="8">
        <f ca="1">IF(ISBLANK(Table1[[#This Row],[DateofTermination]]),DATEDIF(Table1[[#This Row],[DateofHire]],TODAY(), "M"),DATEDIF(Table1[[#This Row],[DateofHire]],Table1[[#This Row],[DateofTermination]],"M"))/12</f>
        <v>13</v>
      </c>
      <c r="AD19" t="str">
        <f>IF(Table1[[#This Row],[EmpSatisfaction]]=1,"Very Dissatisfied", IF(Table1[[#This Row],[EmpSatisfaction]] = 2, "Dissatisfied", IF(Table1[[#This Row],[EmpSatisfaction]]  = 3, "Neutral", IF(Table1[[#This Row],[EmpSatisfaction]] = 4, "Satisfied", IF(Table1[[#This Row],[EmpSatisfaction]]=5,"Very Satisfied", " ")))))</f>
        <v>Very Satisfied</v>
      </c>
      <c r="AE19">
        <f>YEAR(Table1[[#This Row],[DateofHire]])</f>
        <v>2011</v>
      </c>
      <c r="AF19" t="s">
        <v>25</v>
      </c>
    </row>
    <row r="20" spans="1:32" hidden="1" x14ac:dyDescent="0.3">
      <c r="A20" t="s">
        <v>79</v>
      </c>
      <c r="B20">
        <v>10245</v>
      </c>
      <c r="C20" t="s">
        <v>461</v>
      </c>
      <c r="D20" t="s">
        <v>488</v>
      </c>
      <c r="E20">
        <v>10084</v>
      </c>
      <c r="F20" s="1">
        <v>41827</v>
      </c>
      <c r="G20" s="7">
        <v>110000</v>
      </c>
      <c r="H20" t="s">
        <v>499</v>
      </c>
      <c r="I20" s="1">
        <v>31506</v>
      </c>
      <c r="J20" t="s">
        <v>22</v>
      </c>
      <c r="K20" t="s">
        <v>23</v>
      </c>
      <c r="L20" t="s">
        <v>24</v>
      </c>
      <c r="M20" t="s">
        <v>21</v>
      </c>
      <c r="N20">
        <v>2026</v>
      </c>
      <c r="O20" s="1">
        <v>42259</v>
      </c>
      <c r="P20" t="s">
        <v>519</v>
      </c>
      <c r="Q20" t="s">
        <v>75</v>
      </c>
      <c r="R20" t="s">
        <v>45</v>
      </c>
      <c r="S20" t="s">
        <v>36</v>
      </c>
      <c r="T20">
        <v>4.5</v>
      </c>
      <c r="U20">
        <v>4</v>
      </c>
      <c r="V20" s="1">
        <v>42019</v>
      </c>
      <c r="W20">
        <v>8</v>
      </c>
      <c r="X20" t="str">
        <f>INDEX(Position!B:B,MATCH(Table1[[#This Row],[Position ID]],Position!A:A, 0 ))</f>
        <v>Database Administrator</v>
      </c>
      <c r="Y20" t="str">
        <f>INDEX(Department!B:B,MATCH(Table1[[#This Row],[Department ID]],Department!A:A,0))</f>
        <v>IT/IS</v>
      </c>
      <c r="Z20" t="str">
        <f>INDEX(Manager!B:B,MATCH(Table1[[#This Row],[Manger ID]],Manager!A:A,0))</f>
        <v>Simon Roup</v>
      </c>
      <c r="AA20">
        <f ca="1">DATEDIF(Table1[[#This Row],[DOB]],TODAY(), "Y")</f>
        <v>38</v>
      </c>
      <c r="AB20" t="str">
        <f ca="1">IF(Table1[[#This Row],[ Age]]&lt;18,"Less than 18",IF(Table1[[#This Row],[ Age]]&lt;=29,"18-29",IF(Table1[[#This Row],[ Age]]&lt;=49,"30-49",IF(Table1[[#This Row],[ Age]]&lt;=59,"50-59","60 or more"))))</f>
        <v>30-49</v>
      </c>
      <c r="AC20" s="8">
        <f ca="1">IF(ISBLANK(Table1[[#This Row],[DateofTermination]]),DATEDIF(Table1[[#This Row],[DateofHire]],TODAY(), "M"),DATEDIF(Table1[[#This Row],[DateofHire]],Table1[[#This Row],[DateofTermination]],"M"))/12</f>
        <v>1.1666666666666667</v>
      </c>
      <c r="AD20" t="str">
        <f>IF(Table1[[#This Row],[EmpSatisfaction]]=1,"Very Dissatisfied", IF(Table1[[#This Row],[EmpSatisfaction]] = 2, "Dissatisfied", IF(Table1[[#This Row],[EmpSatisfaction]]  = 3, "Neutral", IF(Table1[[#This Row],[EmpSatisfaction]] = 4, "Satisfied", IF(Table1[[#This Row],[EmpSatisfaction]]=5,"Very Satisfied", " ")))))</f>
        <v>Satisfied</v>
      </c>
      <c r="AE20">
        <f>YEAR(Table1[[#This Row],[DateofHire]])</f>
        <v>2014</v>
      </c>
      <c r="AF20" t="s">
        <v>535</v>
      </c>
    </row>
    <row r="21" spans="1:32" x14ac:dyDescent="0.3">
      <c r="A21" t="s">
        <v>81</v>
      </c>
      <c r="B21">
        <v>10277</v>
      </c>
      <c r="C21" t="s">
        <v>474</v>
      </c>
      <c r="D21" t="s">
        <v>489</v>
      </c>
      <c r="E21">
        <v>10069</v>
      </c>
      <c r="F21" s="1">
        <v>41463</v>
      </c>
      <c r="G21" s="7">
        <v>53250</v>
      </c>
      <c r="H21" t="s">
        <v>498</v>
      </c>
      <c r="I21" s="1">
        <v>28951</v>
      </c>
      <c r="J21" t="s">
        <v>22</v>
      </c>
      <c r="K21" t="s">
        <v>23</v>
      </c>
      <c r="L21" t="s">
        <v>82</v>
      </c>
      <c r="M21" t="s">
        <v>21</v>
      </c>
      <c r="N21">
        <v>2452</v>
      </c>
      <c r="P21" t="s">
        <v>512</v>
      </c>
      <c r="Q21" t="s">
        <v>25</v>
      </c>
      <c r="R21" t="s">
        <v>27</v>
      </c>
      <c r="S21" t="s">
        <v>36</v>
      </c>
      <c r="T21">
        <v>4.2</v>
      </c>
      <c r="U21">
        <v>4</v>
      </c>
      <c r="V21" s="1">
        <v>43476</v>
      </c>
      <c r="W21">
        <v>13</v>
      </c>
      <c r="X21" t="str">
        <f>INDEX(Position!B:B,MATCH(Table1[[#This Row],[Position ID]],Position!A:A, 0 ))</f>
        <v>Production Technician I</v>
      </c>
      <c r="Y21" t="str">
        <f>INDEX(Department!B:B,MATCH(Table1[[#This Row],[Department ID]],Department!A:A,0))</f>
        <v>Production</v>
      </c>
      <c r="Z21" t="str">
        <f>INDEX(Manager!B:B,MATCH(Table1[[#This Row],[Manger ID]],Manager!A:A,0))</f>
        <v>Webster Butler</v>
      </c>
      <c r="AA21">
        <f ca="1">DATEDIF(Table1[[#This Row],[DOB]],TODAY(), "Y")</f>
        <v>45</v>
      </c>
      <c r="AB21" t="str">
        <f ca="1">IF(Table1[[#This Row],[ Age]]&lt;18,"Less than 18",IF(Table1[[#This Row],[ Age]]&lt;=29,"18-29",IF(Table1[[#This Row],[ Age]]&lt;=49,"30-49",IF(Table1[[#This Row],[ Age]]&lt;=59,"50-59","60 or more"))))</f>
        <v>30-49</v>
      </c>
      <c r="AC21" s="8">
        <f ca="1">IF(ISBLANK(Table1[[#This Row],[DateofTermination]]),DATEDIF(Table1[[#This Row],[DateofHire]],TODAY(), "M"),DATEDIF(Table1[[#This Row],[DateofHire]],Table1[[#This Row],[DateofTermination]],"M"))/12</f>
        <v>10.75</v>
      </c>
      <c r="AD21" t="str">
        <f>IF(Table1[[#This Row],[EmpSatisfaction]]=1,"Very Dissatisfied", IF(Table1[[#This Row],[EmpSatisfaction]] = 2, "Dissatisfied", IF(Table1[[#This Row],[EmpSatisfaction]]  = 3, "Neutral", IF(Table1[[#This Row],[EmpSatisfaction]] = 4, "Satisfied", IF(Table1[[#This Row],[EmpSatisfaction]]=5,"Very Satisfied", " ")))))</f>
        <v>Satisfied</v>
      </c>
      <c r="AE21">
        <f>YEAR(Table1[[#This Row],[DateofHire]])</f>
        <v>2013</v>
      </c>
      <c r="AF21" t="s">
        <v>25</v>
      </c>
    </row>
    <row r="22" spans="1:32" x14ac:dyDescent="0.3">
      <c r="A22" t="s">
        <v>83</v>
      </c>
      <c r="B22">
        <v>10046</v>
      </c>
      <c r="C22" t="s">
        <v>474</v>
      </c>
      <c r="D22" t="s">
        <v>489</v>
      </c>
      <c r="E22">
        <v>10002</v>
      </c>
      <c r="F22" s="1">
        <v>41001</v>
      </c>
      <c r="G22" s="7">
        <v>51044</v>
      </c>
      <c r="H22" t="s">
        <v>498</v>
      </c>
      <c r="I22" s="1">
        <v>25924</v>
      </c>
      <c r="J22" t="s">
        <v>22</v>
      </c>
      <c r="K22" t="s">
        <v>23</v>
      </c>
      <c r="L22" t="s">
        <v>24</v>
      </c>
      <c r="M22" t="s">
        <v>21</v>
      </c>
      <c r="N22">
        <v>2072</v>
      </c>
      <c r="P22" t="s">
        <v>512</v>
      </c>
      <c r="Q22" t="s">
        <v>25</v>
      </c>
      <c r="R22" t="s">
        <v>45</v>
      </c>
      <c r="S22" t="s">
        <v>36</v>
      </c>
      <c r="T22">
        <v>5</v>
      </c>
      <c r="U22">
        <v>3</v>
      </c>
      <c r="V22" s="1">
        <v>43479</v>
      </c>
      <c r="W22">
        <v>13</v>
      </c>
      <c r="X22" t="str">
        <f>INDEX(Position!B:B,MATCH(Table1[[#This Row],[Position ID]],Position!A:A, 0 ))</f>
        <v>Production Technician I</v>
      </c>
      <c r="Y22" t="str">
        <f>INDEX(Department!B:B,MATCH(Table1[[#This Row],[Department ID]],Department!A:A,0))</f>
        <v>Production</v>
      </c>
      <c r="Z22" t="str">
        <f>INDEX(Manager!B:B,MATCH(Table1[[#This Row],[Manger ID]],Manager!A:A,0))</f>
        <v>Amy Dunn</v>
      </c>
      <c r="AA22">
        <f ca="1">DATEDIF(Table1[[#This Row],[DOB]],TODAY(), "Y")</f>
        <v>53</v>
      </c>
      <c r="AB22" t="str">
        <f ca="1">IF(Table1[[#This Row],[ Age]]&lt;18,"Less than 18",IF(Table1[[#This Row],[ Age]]&lt;=29,"18-29",IF(Table1[[#This Row],[ Age]]&lt;=49,"30-49",IF(Table1[[#This Row],[ Age]]&lt;=59,"50-59","60 or more"))))</f>
        <v>50-59</v>
      </c>
      <c r="AC22" s="8">
        <f ca="1">IF(ISBLANK(Table1[[#This Row],[DateofTermination]]),DATEDIF(Table1[[#This Row],[DateofHire]],TODAY(), "M"),DATEDIF(Table1[[#This Row],[DateofHire]],Table1[[#This Row],[DateofTermination]],"M"))/12</f>
        <v>12</v>
      </c>
      <c r="AD22" t="str">
        <f>IF(Table1[[#This Row],[EmpSatisfaction]]=1,"Very Dissatisfied", IF(Table1[[#This Row],[EmpSatisfaction]] = 2, "Dissatisfied", IF(Table1[[#This Row],[EmpSatisfaction]]  = 3, "Neutral", IF(Table1[[#This Row],[EmpSatisfaction]] = 4, "Satisfied", IF(Table1[[#This Row],[EmpSatisfaction]]=5,"Very Satisfied", " ")))))</f>
        <v>Neutral</v>
      </c>
      <c r="AE22">
        <f>YEAR(Table1[[#This Row],[DateofHire]])</f>
        <v>2012</v>
      </c>
      <c r="AF22" t="s">
        <v>25</v>
      </c>
    </row>
    <row r="23" spans="1:32" x14ac:dyDescent="0.3">
      <c r="A23" t="s">
        <v>84</v>
      </c>
      <c r="B23">
        <v>10226</v>
      </c>
      <c r="C23" t="s">
        <v>474</v>
      </c>
      <c r="D23" t="s">
        <v>489</v>
      </c>
      <c r="E23">
        <v>10062</v>
      </c>
      <c r="F23" s="1">
        <v>41505</v>
      </c>
      <c r="G23" s="7">
        <v>64919</v>
      </c>
      <c r="H23" t="s">
        <v>499</v>
      </c>
      <c r="I23" s="1">
        <v>21546</v>
      </c>
      <c r="J23" t="s">
        <v>43</v>
      </c>
      <c r="K23" t="s">
        <v>23</v>
      </c>
      <c r="L23" t="s">
        <v>82</v>
      </c>
      <c r="M23" t="s">
        <v>21</v>
      </c>
      <c r="N23">
        <v>2027</v>
      </c>
      <c r="P23" t="s">
        <v>512</v>
      </c>
      <c r="Q23" t="s">
        <v>25</v>
      </c>
      <c r="R23" t="s">
        <v>35</v>
      </c>
      <c r="S23" t="s">
        <v>36</v>
      </c>
      <c r="T23">
        <v>4.2</v>
      </c>
      <c r="U23">
        <v>3</v>
      </c>
      <c r="V23" s="1">
        <v>43475</v>
      </c>
      <c r="W23">
        <v>2</v>
      </c>
      <c r="X23" t="str">
        <f>INDEX(Position!B:B,MATCH(Table1[[#This Row],[Position ID]],Position!A:A, 0 ))</f>
        <v>Production Technician I</v>
      </c>
      <c r="Y23" t="str">
        <f>INDEX(Department!B:B,MATCH(Table1[[#This Row],[Department ID]],Department!A:A,0))</f>
        <v>Production</v>
      </c>
      <c r="Z23" t="str">
        <f>INDEX(Manager!B:B,MATCH(Table1[[#This Row],[Manger ID]],Manager!A:A,0))</f>
        <v>Ketsia Liebig</v>
      </c>
      <c r="AA23">
        <f ca="1">DATEDIF(Table1[[#This Row],[DOB]],TODAY(), "Y")</f>
        <v>65</v>
      </c>
      <c r="AB23" t="str">
        <f ca="1">IF(Table1[[#This Row],[ Age]]&lt;18,"Less than 18",IF(Table1[[#This Row],[ Age]]&lt;=29,"18-29",IF(Table1[[#This Row],[ Age]]&lt;=49,"30-49",IF(Table1[[#This Row],[ Age]]&lt;=59,"50-59","60 or more"))))</f>
        <v>60 or more</v>
      </c>
      <c r="AC23" s="8">
        <f ca="1">IF(ISBLANK(Table1[[#This Row],[DateofTermination]]),DATEDIF(Table1[[#This Row],[DateofHire]],TODAY(), "M"),DATEDIF(Table1[[#This Row],[DateofHire]],Table1[[#This Row],[DateofTermination]],"M"))/12</f>
        <v>10.583333333333334</v>
      </c>
      <c r="AD23" t="str">
        <f>IF(Table1[[#This Row],[EmpSatisfaction]]=1,"Very Dissatisfied", IF(Table1[[#This Row],[EmpSatisfaction]] = 2, "Dissatisfied", IF(Table1[[#This Row],[EmpSatisfaction]]  = 3, "Neutral", IF(Table1[[#This Row],[EmpSatisfaction]] = 4, "Satisfied", IF(Table1[[#This Row],[EmpSatisfaction]]=5,"Very Satisfied", " ")))))</f>
        <v>Neutral</v>
      </c>
      <c r="AE23">
        <f>YEAR(Table1[[#This Row],[DateofHire]])</f>
        <v>2013</v>
      </c>
      <c r="AF23" t="s">
        <v>25</v>
      </c>
    </row>
    <row r="24" spans="1:32" x14ac:dyDescent="0.3">
      <c r="A24" t="s">
        <v>85</v>
      </c>
      <c r="B24">
        <v>10003</v>
      </c>
      <c r="C24" t="s">
        <v>474</v>
      </c>
      <c r="D24" t="s">
        <v>489</v>
      </c>
      <c r="E24">
        <v>10114</v>
      </c>
      <c r="F24" s="1">
        <v>41827</v>
      </c>
      <c r="G24" s="7">
        <v>62910</v>
      </c>
      <c r="H24" t="s">
        <v>499</v>
      </c>
      <c r="I24" s="1">
        <v>32752</v>
      </c>
      <c r="J24" t="s">
        <v>31</v>
      </c>
      <c r="K24" t="s">
        <v>23</v>
      </c>
      <c r="L24" t="s">
        <v>24</v>
      </c>
      <c r="M24" t="s">
        <v>21</v>
      </c>
      <c r="N24">
        <v>2031</v>
      </c>
      <c r="P24" t="s">
        <v>512</v>
      </c>
      <c r="Q24" t="s">
        <v>25</v>
      </c>
      <c r="R24" t="s">
        <v>35</v>
      </c>
      <c r="S24" t="s">
        <v>28</v>
      </c>
      <c r="T24">
        <v>5</v>
      </c>
      <c r="U24">
        <v>3</v>
      </c>
      <c r="V24" s="1">
        <v>43523</v>
      </c>
      <c r="W24">
        <v>19</v>
      </c>
      <c r="X24" t="str">
        <f>INDEX(Position!B:B,MATCH(Table1[[#This Row],[Position ID]],Position!A:A, 0 ))</f>
        <v>Production Technician I</v>
      </c>
      <c r="Y24" t="str">
        <f>INDEX(Department!B:B,MATCH(Table1[[#This Row],[Department ID]],Department!A:A,0))</f>
        <v>Production</v>
      </c>
      <c r="Z24" t="str">
        <f>INDEX(Manager!B:B,MATCH(Table1[[#This Row],[Manger ID]],Manager!A:A,0))</f>
        <v>Brannon Miller</v>
      </c>
      <c r="AA24">
        <f ca="1">DATEDIF(Table1[[#This Row],[DOB]],TODAY(), "Y")</f>
        <v>34</v>
      </c>
      <c r="AB24" t="str">
        <f ca="1">IF(Table1[[#This Row],[ Age]]&lt;18,"Less than 18",IF(Table1[[#This Row],[ Age]]&lt;=29,"18-29",IF(Table1[[#This Row],[ Age]]&lt;=49,"30-49",IF(Table1[[#This Row],[ Age]]&lt;=59,"50-59","60 or more"))))</f>
        <v>30-49</v>
      </c>
      <c r="AC24" s="8">
        <f ca="1">IF(ISBLANK(Table1[[#This Row],[DateofTermination]]),DATEDIF(Table1[[#This Row],[DateofHire]],TODAY(), "M"),DATEDIF(Table1[[#This Row],[DateofHire]],Table1[[#This Row],[DateofTermination]],"M"))/12</f>
        <v>9.75</v>
      </c>
      <c r="AD24" t="str">
        <f>IF(Table1[[#This Row],[EmpSatisfaction]]=1,"Very Dissatisfied", IF(Table1[[#This Row],[EmpSatisfaction]] = 2, "Dissatisfied", IF(Table1[[#This Row],[EmpSatisfaction]]  = 3, "Neutral", IF(Table1[[#This Row],[EmpSatisfaction]] = 4, "Satisfied", IF(Table1[[#This Row],[EmpSatisfaction]]=5,"Very Satisfied", " ")))))</f>
        <v>Neutral</v>
      </c>
      <c r="AE24">
        <f>YEAR(Table1[[#This Row],[DateofHire]])</f>
        <v>2014</v>
      </c>
      <c r="AF24" t="s">
        <v>25</v>
      </c>
    </row>
    <row r="25" spans="1:32" x14ac:dyDescent="0.3">
      <c r="A25" t="s">
        <v>86</v>
      </c>
      <c r="B25">
        <v>10294</v>
      </c>
      <c r="C25" t="s">
        <v>475</v>
      </c>
      <c r="D25" t="s">
        <v>489</v>
      </c>
      <c r="E25">
        <v>10026</v>
      </c>
      <c r="F25" s="1">
        <v>40637</v>
      </c>
      <c r="G25" s="7">
        <v>66441</v>
      </c>
      <c r="H25" t="s">
        <v>499</v>
      </c>
      <c r="I25" s="1">
        <v>33137</v>
      </c>
      <c r="J25" t="s">
        <v>22</v>
      </c>
      <c r="K25" t="s">
        <v>23</v>
      </c>
      <c r="L25" t="s">
        <v>24</v>
      </c>
      <c r="M25" t="s">
        <v>21</v>
      </c>
      <c r="N25">
        <v>2171</v>
      </c>
      <c r="P25" t="s">
        <v>512</v>
      </c>
      <c r="Q25" t="s">
        <v>25</v>
      </c>
      <c r="R25" t="s">
        <v>87</v>
      </c>
      <c r="S25" t="s">
        <v>88</v>
      </c>
      <c r="T25">
        <v>2</v>
      </c>
      <c r="U25">
        <v>3</v>
      </c>
      <c r="V25" s="1">
        <v>43523</v>
      </c>
      <c r="W25">
        <v>3</v>
      </c>
      <c r="X25" t="str">
        <f>INDEX(Position!B:B,MATCH(Table1[[#This Row],[Position ID]],Position!A:A, 0 ))</f>
        <v>Production Technician II</v>
      </c>
      <c r="Y25" t="str">
        <f>INDEX(Department!B:B,MATCH(Table1[[#This Row],[Department ID]],Department!A:A,0))</f>
        <v>Production</v>
      </c>
      <c r="Z25" t="str">
        <f>INDEX(Manager!B:B,MATCH(Table1[[#This Row],[Manger ID]],Manager!A:A,0))</f>
        <v>Michael Albert</v>
      </c>
      <c r="AA25">
        <f ca="1">DATEDIF(Table1[[#This Row],[DOB]],TODAY(), "Y")</f>
        <v>33</v>
      </c>
      <c r="AB25" t="str">
        <f ca="1">IF(Table1[[#This Row],[ Age]]&lt;18,"Less than 18",IF(Table1[[#This Row],[ Age]]&lt;=29,"18-29",IF(Table1[[#This Row],[ Age]]&lt;=49,"30-49",IF(Table1[[#This Row],[ Age]]&lt;=59,"50-59","60 or more"))))</f>
        <v>30-49</v>
      </c>
      <c r="AC25" s="8">
        <f ca="1">IF(ISBLANK(Table1[[#This Row],[DateofTermination]]),DATEDIF(Table1[[#This Row],[DateofHire]],TODAY(), "M"),DATEDIF(Table1[[#This Row],[DateofHire]],Table1[[#This Row],[DateofTermination]],"M"))/12</f>
        <v>13</v>
      </c>
      <c r="AD25" t="str">
        <f>IF(Table1[[#This Row],[EmpSatisfaction]]=1,"Very Dissatisfied", IF(Table1[[#This Row],[EmpSatisfaction]] = 2, "Dissatisfied", IF(Table1[[#This Row],[EmpSatisfaction]]  = 3, "Neutral", IF(Table1[[#This Row],[EmpSatisfaction]] = 4, "Satisfied", IF(Table1[[#This Row],[EmpSatisfaction]]=5,"Very Satisfied", " ")))))</f>
        <v>Neutral</v>
      </c>
      <c r="AE25">
        <f>YEAR(Table1[[#This Row],[DateofHire]])</f>
        <v>2011</v>
      </c>
      <c r="AF25" t="s">
        <v>25</v>
      </c>
    </row>
    <row r="26" spans="1:32" hidden="1" x14ac:dyDescent="0.3">
      <c r="A26" t="s">
        <v>89</v>
      </c>
      <c r="B26">
        <v>10267</v>
      </c>
      <c r="C26" t="s">
        <v>475</v>
      </c>
      <c r="D26" t="s">
        <v>489</v>
      </c>
      <c r="E26">
        <v>10088</v>
      </c>
      <c r="F26" s="1">
        <v>40553</v>
      </c>
      <c r="G26" s="7">
        <v>57815</v>
      </c>
      <c r="H26" t="s">
        <v>499</v>
      </c>
      <c r="I26" s="1">
        <v>24488</v>
      </c>
      <c r="J26" t="s">
        <v>22</v>
      </c>
      <c r="K26" t="s">
        <v>23</v>
      </c>
      <c r="L26" t="s">
        <v>24</v>
      </c>
      <c r="M26" t="s">
        <v>21</v>
      </c>
      <c r="N26">
        <v>2210</v>
      </c>
      <c r="O26" s="1">
        <v>41733</v>
      </c>
      <c r="P26" t="s">
        <v>513</v>
      </c>
      <c r="Q26" t="s">
        <v>32</v>
      </c>
      <c r="R26" t="s">
        <v>45</v>
      </c>
      <c r="S26" t="s">
        <v>36</v>
      </c>
      <c r="T26">
        <v>4.8</v>
      </c>
      <c r="U26">
        <v>5</v>
      </c>
      <c r="V26" s="1">
        <v>41702</v>
      </c>
      <c r="W26">
        <v>5</v>
      </c>
      <c r="X26" t="str">
        <f>INDEX(Position!B:B,MATCH(Table1[[#This Row],[Position ID]],Position!A:A, 0 ))</f>
        <v>Production Technician II</v>
      </c>
      <c r="Y26" t="str">
        <f>INDEX(Department!B:B,MATCH(Table1[[#This Row],[Department ID]],Department!A:A,0))</f>
        <v>Production</v>
      </c>
      <c r="Z26" t="str">
        <f>INDEX(Manager!B:B,MATCH(Table1[[#This Row],[Manger ID]],Manager!A:A,0))</f>
        <v>Elijiah Gray</v>
      </c>
      <c r="AA26">
        <f ca="1">DATEDIF(Table1[[#This Row],[DOB]],TODAY(), "Y")</f>
        <v>57</v>
      </c>
      <c r="AB26" t="str">
        <f ca="1">IF(Table1[[#This Row],[ Age]]&lt;18,"Less than 18",IF(Table1[[#This Row],[ Age]]&lt;=29,"18-29",IF(Table1[[#This Row],[ Age]]&lt;=49,"30-49",IF(Table1[[#This Row],[ Age]]&lt;=59,"50-59","60 or more"))))</f>
        <v>50-59</v>
      </c>
      <c r="AC26" s="8">
        <f ca="1">IF(ISBLANK(Table1[[#This Row],[DateofTermination]]),DATEDIF(Table1[[#This Row],[DateofHire]],TODAY(), "M"),DATEDIF(Table1[[#This Row],[DateofHire]],Table1[[#This Row],[DateofTermination]],"M"))/12</f>
        <v>3.1666666666666665</v>
      </c>
      <c r="AD26" t="str">
        <f>IF(Table1[[#This Row],[EmpSatisfaction]]=1,"Very Dissatisfied", IF(Table1[[#This Row],[EmpSatisfaction]] = 2, "Dissatisfied", IF(Table1[[#This Row],[EmpSatisfaction]]  = 3, "Neutral", IF(Table1[[#This Row],[EmpSatisfaction]] = 4, "Satisfied", IF(Table1[[#This Row],[EmpSatisfaction]]=5,"Very Satisfied", " ")))))</f>
        <v>Very Satisfied</v>
      </c>
      <c r="AE26">
        <f>YEAR(Table1[[#This Row],[DateofHire]])</f>
        <v>2011</v>
      </c>
      <c r="AF26" t="s">
        <v>535</v>
      </c>
    </row>
    <row r="27" spans="1:32" hidden="1" x14ac:dyDescent="0.3">
      <c r="A27" t="s">
        <v>90</v>
      </c>
      <c r="B27">
        <v>10199</v>
      </c>
      <c r="C27" t="s">
        <v>464</v>
      </c>
      <c r="D27" t="s">
        <v>488</v>
      </c>
      <c r="E27">
        <v>10084</v>
      </c>
      <c r="F27" s="1">
        <v>41687</v>
      </c>
      <c r="G27" s="7">
        <v>103613</v>
      </c>
      <c r="H27" t="s">
        <v>498</v>
      </c>
      <c r="I27" s="1">
        <v>23588</v>
      </c>
      <c r="J27" t="s">
        <v>22</v>
      </c>
      <c r="K27" t="s">
        <v>23</v>
      </c>
      <c r="L27" t="s">
        <v>57</v>
      </c>
      <c r="M27" t="s">
        <v>92</v>
      </c>
      <c r="N27">
        <v>6033</v>
      </c>
      <c r="O27" s="1">
        <v>42419</v>
      </c>
      <c r="P27" t="s">
        <v>520</v>
      </c>
      <c r="Q27" t="s">
        <v>75</v>
      </c>
      <c r="R27" t="s">
        <v>27</v>
      </c>
      <c r="S27" t="s">
        <v>36</v>
      </c>
      <c r="T27">
        <v>3.5</v>
      </c>
      <c r="U27">
        <v>5</v>
      </c>
      <c r="V27" s="1">
        <v>42379</v>
      </c>
      <c r="W27">
        <v>2</v>
      </c>
      <c r="X27" t="str">
        <f>INDEX(Position!B:B,MATCH(Table1[[#This Row],[Position ID]],Position!A:A, 0 ))</f>
        <v>Enterprise Architect</v>
      </c>
      <c r="Y27" t="str">
        <f>INDEX(Department!B:B,MATCH(Table1[[#This Row],[Department ID]],Department!A:A,0))</f>
        <v>IT/IS</v>
      </c>
      <c r="Z27" t="str">
        <f>INDEX(Manager!B:B,MATCH(Table1[[#This Row],[Manger ID]],Manager!A:A,0))</f>
        <v>Simon Roup</v>
      </c>
      <c r="AA27">
        <f ca="1">DATEDIF(Table1[[#This Row],[DOB]],TODAY(), "Y")</f>
        <v>59</v>
      </c>
      <c r="AB27" t="str">
        <f ca="1">IF(Table1[[#This Row],[ Age]]&lt;18,"Less than 18",IF(Table1[[#This Row],[ Age]]&lt;=29,"18-29",IF(Table1[[#This Row],[ Age]]&lt;=49,"30-49",IF(Table1[[#This Row],[ Age]]&lt;=59,"50-59","60 or more"))))</f>
        <v>50-59</v>
      </c>
      <c r="AC27" s="8">
        <f ca="1">IF(ISBLANK(Table1[[#This Row],[DateofTermination]]),DATEDIF(Table1[[#This Row],[DateofHire]],TODAY(), "M"),DATEDIF(Table1[[#This Row],[DateofHire]],Table1[[#This Row],[DateofTermination]],"M"))/12</f>
        <v>2</v>
      </c>
      <c r="AD27" t="str">
        <f>IF(Table1[[#This Row],[EmpSatisfaction]]=1,"Very Dissatisfied", IF(Table1[[#This Row],[EmpSatisfaction]] = 2, "Dissatisfied", IF(Table1[[#This Row],[EmpSatisfaction]]  = 3, "Neutral", IF(Table1[[#This Row],[EmpSatisfaction]] = 4, "Satisfied", IF(Table1[[#This Row],[EmpSatisfaction]]=5,"Very Satisfied", " ")))))</f>
        <v>Very Satisfied</v>
      </c>
      <c r="AE27">
        <f>YEAR(Table1[[#This Row],[DateofHire]])</f>
        <v>2014</v>
      </c>
      <c r="AF27" t="s">
        <v>535</v>
      </c>
    </row>
    <row r="28" spans="1:32" x14ac:dyDescent="0.3">
      <c r="A28" t="s">
        <v>93</v>
      </c>
      <c r="B28">
        <v>10081</v>
      </c>
      <c r="C28" t="s">
        <v>481</v>
      </c>
      <c r="D28" t="s">
        <v>486</v>
      </c>
      <c r="E28">
        <v>10081</v>
      </c>
      <c r="F28" s="1">
        <v>42051</v>
      </c>
      <c r="G28" s="7">
        <v>106367</v>
      </c>
      <c r="H28" t="s">
        <v>499</v>
      </c>
      <c r="I28" s="1">
        <v>31871</v>
      </c>
      <c r="J28" t="s">
        <v>31</v>
      </c>
      <c r="K28" t="s">
        <v>23</v>
      </c>
      <c r="L28" t="s">
        <v>57</v>
      </c>
      <c r="M28" t="s">
        <v>21</v>
      </c>
      <c r="N28">
        <v>2468</v>
      </c>
      <c r="P28" t="s">
        <v>512</v>
      </c>
      <c r="Q28" t="s">
        <v>25</v>
      </c>
      <c r="R28" t="s">
        <v>59</v>
      </c>
      <c r="S28" t="s">
        <v>36</v>
      </c>
      <c r="T28">
        <v>5</v>
      </c>
      <c r="U28">
        <v>4</v>
      </c>
      <c r="V28" s="1">
        <v>43514</v>
      </c>
      <c r="W28">
        <v>4</v>
      </c>
      <c r="X28" t="str">
        <f>INDEX(Position!B:B,MATCH(Table1[[#This Row],[Position ID]],Position!A:A, 0 ))</f>
        <v>Sr. Accountant</v>
      </c>
      <c r="Y28" t="str">
        <f>INDEX(Department!B:B,MATCH(Table1[[#This Row],[Department ID]],Department!A:A,0))</f>
        <v>Admin Offices</v>
      </c>
      <c r="Z28" t="str">
        <f>INDEX(Manager!B:B,MATCH(Table1[[#This Row],[Manger ID]],Manager!A:A,0))</f>
        <v>Brandon R. LeBlanc</v>
      </c>
      <c r="AA28">
        <f ca="1">DATEDIF(Table1[[#This Row],[DOB]],TODAY(), "Y")</f>
        <v>37</v>
      </c>
      <c r="AB28" t="str">
        <f ca="1">IF(Table1[[#This Row],[ Age]]&lt;18,"Less than 18",IF(Table1[[#This Row],[ Age]]&lt;=29,"18-29",IF(Table1[[#This Row],[ Age]]&lt;=49,"30-49",IF(Table1[[#This Row],[ Age]]&lt;=59,"50-59","60 or more"))))</f>
        <v>30-49</v>
      </c>
      <c r="AC28" s="8">
        <f ca="1">IF(ISBLANK(Table1[[#This Row],[DateofTermination]]),DATEDIF(Table1[[#This Row],[DateofHire]],TODAY(), "M"),DATEDIF(Table1[[#This Row],[DateofHire]],Table1[[#This Row],[DateofTermination]],"M"))/12</f>
        <v>9.0833333333333339</v>
      </c>
      <c r="AD28" t="str">
        <f>IF(Table1[[#This Row],[EmpSatisfaction]]=1,"Very Dissatisfied", IF(Table1[[#This Row],[EmpSatisfaction]] = 2, "Dissatisfied", IF(Table1[[#This Row],[EmpSatisfaction]]  = 3, "Neutral", IF(Table1[[#This Row],[EmpSatisfaction]] = 4, "Satisfied", IF(Table1[[#This Row],[EmpSatisfaction]]=5,"Very Satisfied", " ")))))</f>
        <v>Satisfied</v>
      </c>
      <c r="AE28">
        <f>YEAR(Table1[[#This Row],[DateofHire]])</f>
        <v>2015</v>
      </c>
      <c r="AF28" t="s">
        <v>25</v>
      </c>
    </row>
    <row r="29" spans="1:32" hidden="1" x14ac:dyDescent="0.3">
      <c r="A29" t="s">
        <v>97</v>
      </c>
      <c r="B29">
        <v>10175</v>
      </c>
      <c r="C29" t="s">
        <v>473</v>
      </c>
      <c r="D29" t="s">
        <v>489</v>
      </c>
      <c r="E29">
        <v>10175</v>
      </c>
      <c r="F29" s="1">
        <v>41547</v>
      </c>
      <c r="G29" s="7">
        <v>74312</v>
      </c>
      <c r="H29" t="s">
        <v>498</v>
      </c>
      <c r="I29" s="1">
        <v>25637</v>
      </c>
      <c r="J29" t="s">
        <v>22</v>
      </c>
      <c r="K29" t="s">
        <v>23</v>
      </c>
      <c r="L29" t="s">
        <v>82</v>
      </c>
      <c r="M29" t="s">
        <v>21</v>
      </c>
      <c r="N29">
        <v>1901</v>
      </c>
      <c r="O29" s="1">
        <v>41858</v>
      </c>
      <c r="P29" t="s">
        <v>521</v>
      </c>
      <c r="Q29" t="s">
        <v>32</v>
      </c>
      <c r="R29" t="s">
        <v>35</v>
      </c>
      <c r="S29" t="s">
        <v>36</v>
      </c>
      <c r="T29">
        <v>3.39</v>
      </c>
      <c r="U29">
        <v>3</v>
      </c>
      <c r="V29" s="1">
        <v>41690</v>
      </c>
      <c r="W29">
        <v>14</v>
      </c>
      <c r="X29" t="str">
        <f>INDEX(Position!B:B,MATCH(Table1[[#This Row],[Position ID]],Position!A:A, 0 ))</f>
        <v>Production Manager</v>
      </c>
      <c r="Y29" t="str">
        <f>INDEX(Department!B:B,MATCH(Table1[[#This Row],[Department ID]],Department!A:A,0))</f>
        <v>Production</v>
      </c>
      <c r="Z29" t="str">
        <f>INDEX(Manager!B:B,MATCH(Table1[[#This Row],[Manger ID]],Manager!A:A,0))</f>
        <v>Janet King</v>
      </c>
      <c r="AA29">
        <f ca="1">DATEDIF(Table1[[#This Row],[DOB]],TODAY(), "Y")</f>
        <v>54</v>
      </c>
      <c r="AB29" t="str">
        <f ca="1">IF(Table1[[#This Row],[ Age]]&lt;18,"Less than 18",IF(Table1[[#This Row],[ Age]]&lt;=29,"18-29",IF(Table1[[#This Row],[ Age]]&lt;=49,"30-49",IF(Table1[[#This Row],[ Age]]&lt;=59,"50-59","60 or more"))))</f>
        <v>50-59</v>
      </c>
      <c r="AC29" s="8">
        <f ca="1">IF(ISBLANK(Table1[[#This Row],[DateofTermination]]),DATEDIF(Table1[[#This Row],[DateofHire]],TODAY(), "M"),DATEDIF(Table1[[#This Row],[DateofHire]],Table1[[#This Row],[DateofTermination]],"M"))/12</f>
        <v>0.83333333333333337</v>
      </c>
      <c r="AD29" t="str">
        <f>IF(Table1[[#This Row],[EmpSatisfaction]]=1,"Very Dissatisfied", IF(Table1[[#This Row],[EmpSatisfaction]] = 2, "Dissatisfied", IF(Table1[[#This Row],[EmpSatisfaction]]  = 3, "Neutral", IF(Table1[[#This Row],[EmpSatisfaction]] = 4, "Satisfied", IF(Table1[[#This Row],[EmpSatisfaction]]=5,"Very Satisfied", " ")))))</f>
        <v>Neutral</v>
      </c>
      <c r="AE29">
        <f>YEAR(Table1[[#This Row],[DateofHire]])</f>
        <v>2013</v>
      </c>
      <c r="AF29" t="s">
        <v>535</v>
      </c>
    </row>
    <row r="30" spans="1:32" hidden="1" x14ac:dyDescent="0.3">
      <c r="A30" t="s">
        <v>100</v>
      </c>
      <c r="B30">
        <v>10177</v>
      </c>
      <c r="C30" t="s">
        <v>474</v>
      </c>
      <c r="D30" t="s">
        <v>489</v>
      </c>
      <c r="E30">
        <v>10252</v>
      </c>
      <c r="F30" s="1">
        <v>41001</v>
      </c>
      <c r="G30" s="7">
        <v>53492</v>
      </c>
      <c r="H30" t="s">
        <v>499</v>
      </c>
      <c r="I30" s="1">
        <v>33109</v>
      </c>
      <c r="J30" t="s">
        <v>31</v>
      </c>
      <c r="K30" t="s">
        <v>23</v>
      </c>
      <c r="L30" t="s">
        <v>24</v>
      </c>
      <c r="M30" t="s">
        <v>21</v>
      </c>
      <c r="N30">
        <v>1701</v>
      </c>
      <c r="O30" s="1">
        <v>41440</v>
      </c>
      <c r="P30" t="s">
        <v>516</v>
      </c>
      <c r="Q30" t="s">
        <v>32</v>
      </c>
      <c r="R30" t="s">
        <v>45</v>
      </c>
      <c r="S30" t="s">
        <v>36</v>
      </c>
      <c r="T30">
        <v>3.35</v>
      </c>
      <c r="U30">
        <v>4</v>
      </c>
      <c r="V30" s="1">
        <v>41337</v>
      </c>
      <c r="W30">
        <v>6</v>
      </c>
      <c r="X30" t="str">
        <f>INDEX(Position!B:B,MATCH(Table1[[#This Row],[Position ID]],Position!A:A, 0 ))</f>
        <v>Production Technician I</v>
      </c>
      <c r="Y30" t="str">
        <f>INDEX(Department!B:B,MATCH(Table1[[#This Row],[Department ID]],Department!A:A,0))</f>
        <v>Production</v>
      </c>
      <c r="Z30" t="str">
        <f>INDEX(Manager!B:B,MATCH(Table1[[#This Row],[Manger ID]],Manager!A:A,0))</f>
        <v>David Stanley</v>
      </c>
      <c r="AA30">
        <f ca="1">DATEDIF(Table1[[#This Row],[DOB]],TODAY(), "Y")</f>
        <v>33</v>
      </c>
      <c r="AB30" t="str">
        <f ca="1">IF(Table1[[#This Row],[ Age]]&lt;18,"Less than 18",IF(Table1[[#This Row],[ Age]]&lt;=29,"18-29",IF(Table1[[#This Row],[ Age]]&lt;=49,"30-49",IF(Table1[[#This Row],[ Age]]&lt;=59,"50-59","60 or more"))))</f>
        <v>30-49</v>
      </c>
      <c r="AC30" s="8">
        <f ca="1">IF(ISBLANK(Table1[[#This Row],[DateofTermination]]),DATEDIF(Table1[[#This Row],[DateofHire]],TODAY(), "M"),DATEDIF(Table1[[#This Row],[DateofHire]],Table1[[#This Row],[DateofTermination]],"M"))/12</f>
        <v>1.1666666666666667</v>
      </c>
      <c r="AD30" t="str">
        <f>IF(Table1[[#This Row],[EmpSatisfaction]]=1,"Very Dissatisfied", IF(Table1[[#This Row],[EmpSatisfaction]] = 2, "Dissatisfied", IF(Table1[[#This Row],[EmpSatisfaction]]  = 3, "Neutral", IF(Table1[[#This Row],[EmpSatisfaction]] = 4, "Satisfied", IF(Table1[[#This Row],[EmpSatisfaction]]=5,"Very Satisfied", " ")))))</f>
        <v>Satisfied</v>
      </c>
      <c r="AE30">
        <f>YEAR(Table1[[#This Row],[DateofHire]])</f>
        <v>2012</v>
      </c>
      <c r="AF30" t="s">
        <v>535</v>
      </c>
    </row>
    <row r="31" spans="1:32" x14ac:dyDescent="0.3">
      <c r="A31" t="s">
        <v>101</v>
      </c>
      <c r="B31">
        <v>10238</v>
      </c>
      <c r="C31" t="s">
        <v>452</v>
      </c>
      <c r="D31" t="s">
        <v>486</v>
      </c>
      <c r="E31">
        <v>10081</v>
      </c>
      <c r="F31" s="1">
        <v>39748</v>
      </c>
      <c r="G31" s="7">
        <v>63000</v>
      </c>
      <c r="H31" t="s">
        <v>499</v>
      </c>
      <c r="I31" s="1">
        <v>32105</v>
      </c>
      <c r="J31" t="s">
        <v>31</v>
      </c>
      <c r="K31" t="s">
        <v>23</v>
      </c>
      <c r="L31" t="s">
        <v>57</v>
      </c>
      <c r="M31" t="s">
        <v>21</v>
      </c>
      <c r="N31">
        <v>1450</v>
      </c>
      <c r="P31" t="s">
        <v>512</v>
      </c>
      <c r="Q31" t="s">
        <v>25</v>
      </c>
      <c r="R31" t="s">
        <v>59</v>
      </c>
      <c r="S31" t="s">
        <v>36</v>
      </c>
      <c r="T31">
        <v>4.5</v>
      </c>
      <c r="U31">
        <v>2</v>
      </c>
      <c r="V31" s="1">
        <v>43480</v>
      </c>
      <c r="W31">
        <v>14</v>
      </c>
      <c r="X31" t="str">
        <f>INDEX(Position!B:B,MATCH(Table1[[#This Row],[Position ID]],Position!A:A, 0 ))</f>
        <v>Accountant I</v>
      </c>
      <c r="Y31" t="str">
        <f>INDEX(Department!B:B,MATCH(Table1[[#This Row],[Department ID]],Department!A:A,0))</f>
        <v>Admin Offices</v>
      </c>
      <c r="Z31" t="str">
        <f>INDEX(Manager!B:B,MATCH(Table1[[#This Row],[Manger ID]],Manager!A:A,0))</f>
        <v>Brandon R. LeBlanc</v>
      </c>
      <c r="AA31">
        <f ca="1">DATEDIF(Table1[[#This Row],[DOB]],TODAY(), "Y")</f>
        <v>36</v>
      </c>
      <c r="AB31" t="str">
        <f ca="1">IF(Table1[[#This Row],[ Age]]&lt;18,"Less than 18",IF(Table1[[#This Row],[ Age]]&lt;=29,"18-29",IF(Table1[[#This Row],[ Age]]&lt;=49,"30-49",IF(Table1[[#This Row],[ Age]]&lt;=59,"50-59","60 or more"))))</f>
        <v>30-49</v>
      </c>
      <c r="AC31" s="8">
        <f ca="1">IF(ISBLANK(Table1[[#This Row],[DateofTermination]]),DATEDIF(Table1[[#This Row],[DateofHire]],TODAY(), "M"),DATEDIF(Table1[[#This Row],[DateofHire]],Table1[[#This Row],[DateofTermination]],"M"))/12</f>
        <v>15.416666666666666</v>
      </c>
      <c r="AD31" t="str">
        <f>IF(Table1[[#This Row],[EmpSatisfaction]]=1,"Very Dissatisfied", IF(Table1[[#This Row],[EmpSatisfaction]] = 2, "Dissatisfied", IF(Table1[[#This Row],[EmpSatisfaction]]  = 3, "Neutral", IF(Table1[[#This Row],[EmpSatisfaction]] = 4, "Satisfied", IF(Table1[[#This Row],[EmpSatisfaction]]=5,"Very Satisfied", " ")))))</f>
        <v>Dissatisfied</v>
      </c>
      <c r="AE31">
        <f>YEAR(Table1[[#This Row],[DateofHire]])</f>
        <v>2008</v>
      </c>
      <c r="AF31" t="s">
        <v>25</v>
      </c>
    </row>
    <row r="32" spans="1:32" x14ac:dyDescent="0.3">
      <c r="A32" t="s">
        <v>103</v>
      </c>
      <c r="B32">
        <v>10184</v>
      </c>
      <c r="C32" t="s">
        <v>475</v>
      </c>
      <c r="D32" t="s">
        <v>489</v>
      </c>
      <c r="E32">
        <v>10069</v>
      </c>
      <c r="F32" s="1">
        <v>41911</v>
      </c>
      <c r="G32" s="7">
        <v>65288</v>
      </c>
      <c r="H32" t="s">
        <v>498</v>
      </c>
      <c r="I32" s="1">
        <v>30525</v>
      </c>
      <c r="J32" t="s">
        <v>22</v>
      </c>
      <c r="K32" t="s">
        <v>23</v>
      </c>
      <c r="L32" t="s">
        <v>24</v>
      </c>
      <c r="M32" t="s">
        <v>21</v>
      </c>
      <c r="N32">
        <v>1013</v>
      </c>
      <c r="P32" t="s">
        <v>512</v>
      </c>
      <c r="Q32" t="s">
        <v>25</v>
      </c>
      <c r="R32" t="s">
        <v>45</v>
      </c>
      <c r="S32" t="s">
        <v>36</v>
      </c>
      <c r="T32">
        <v>3.19</v>
      </c>
      <c r="U32">
        <v>3</v>
      </c>
      <c r="V32" s="1">
        <v>43497</v>
      </c>
      <c r="W32">
        <v>9</v>
      </c>
      <c r="X32" t="str">
        <f>INDEX(Position!B:B,MATCH(Table1[[#This Row],[Position ID]],Position!A:A, 0 ))</f>
        <v>Production Technician II</v>
      </c>
      <c r="Y32" t="str">
        <f>INDEX(Department!B:B,MATCH(Table1[[#This Row],[Department ID]],Department!A:A,0))</f>
        <v>Production</v>
      </c>
      <c r="Z32" t="str">
        <f>INDEX(Manager!B:B,MATCH(Table1[[#This Row],[Manger ID]],Manager!A:A,0))</f>
        <v>Webster Butler</v>
      </c>
      <c r="AA32">
        <f ca="1">DATEDIF(Table1[[#This Row],[DOB]],TODAY(), "Y")</f>
        <v>40</v>
      </c>
      <c r="AB32" t="str">
        <f ca="1">IF(Table1[[#This Row],[ Age]]&lt;18,"Less than 18",IF(Table1[[#This Row],[ Age]]&lt;=29,"18-29",IF(Table1[[#This Row],[ Age]]&lt;=49,"30-49",IF(Table1[[#This Row],[ Age]]&lt;=59,"50-59","60 or more"))))</f>
        <v>30-49</v>
      </c>
      <c r="AC32" s="8">
        <f ca="1">IF(ISBLANK(Table1[[#This Row],[DateofTermination]]),DATEDIF(Table1[[#This Row],[DateofHire]],TODAY(), "M"),DATEDIF(Table1[[#This Row],[DateofHire]],Table1[[#This Row],[DateofTermination]],"M"))/12</f>
        <v>9.5</v>
      </c>
      <c r="AD32" t="str">
        <f>IF(Table1[[#This Row],[EmpSatisfaction]]=1,"Very Dissatisfied", IF(Table1[[#This Row],[EmpSatisfaction]] = 2, "Dissatisfied", IF(Table1[[#This Row],[EmpSatisfaction]]  = 3, "Neutral", IF(Table1[[#This Row],[EmpSatisfaction]] = 4, "Satisfied", IF(Table1[[#This Row],[EmpSatisfaction]]=5,"Very Satisfied", " ")))))</f>
        <v>Neutral</v>
      </c>
      <c r="AE32">
        <f>YEAR(Table1[[#This Row],[DateofHire]])</f>
        <v>2014</v>
      </c>
      <c r="AF32" t="s">
        <v>25</v>
      </c>
    </row>
    <row r="33" spans="1:32" x14ac:dyDescent="0.3">
      <c r="A33" t="s">
        <v>104</v>
      </c>
      <c r="B33">
        <v>10203</v>
      </c>
      <c r="C33" t="s">
        <v>474</v>
      </c>
      <c r="D33" t="s">
        <v>489</v>
      </c>
      <c r="E33">
        <v>10196</v>
      </c>
      <c r="F33" s="1">
        <v>41589</v>
      </c>
      <c r="G33" s="7">
        <v>64375</v>
      </c>
      <c r="H33" t="s">
        <v>499</v>
      </c>
      <c r="I33" s="1">
        <v>25506</v>
      </c>
      <c r="J33" t="s">
        <v>105</v>
      </c>
      <c r="K33" t="s">
        <v>23</v>
      </c>
      <c r="L33" t="s">
        <v>57</v>
      </c>
      <c r="M33" t="s">
        <v>21</v>
      </c>
      <c r="N33">
        <v>2043</v>
      </c>
      <c r="P33" t="s">
        <v>512</v>
      </c>
      <c r="Q33" t="s">
        <v>25</v>
      </c>
      <c r="R33" t="s">
        <v>59</v>
      </c>
      <c r="S33" t="s">
        <v>36</v>
      </c>
      <c r="T33">
        <v>3.5</v>
      </c>
      <c r="U33">
        <v>5</v>
      </c>
      <c r="V33" s="1">
        <v>43486</v>
      </c>
      <c r="W33">
        <v>17</v>
      </c>
      <c r="X33" t="str">
        <f>INDEX(Position!B:B,MATCH(Table1[[#This Row],[Position ID]],Position!A:A, 0 ))</f>
        <v>Production Technician I</v>
      </c>
      <c r="Y33" t="str">
        <f>INDEX(Department!B:B,MATCH(Table1[[#This Row],[Department ID]],Department!A:A,0))</f>
        <v>Production</v>
      </c>
      <c r="Z33" t="str">
        <f>INDEX(Manager!B:B,MATCH(Table1[[#This Row],[Manger ID]],Manager!A:A,0))</f>
        <v>Kissy Sullivan</v>
      </c>
      <c r="AA33">
        <f ca="1">DATEDIF(Table1[[#This Row],[DOB]],TODAY(), "Y")</f>
        <v>54</v>
      </c>
      <c r="AB33" t="str">
        <f ca="1">IF(Table1[[#This Row],[ Age]]&lt;18,"Less than 18",IF(Table1[[#This Row],[ Age]]&lt;=29,"18-29",IF(Table1[[#This Row],[ Age]]&lt;=49,"30-49",IF(Table1[[#This Row],[ Age]]&lt;=59,"50-59","60 or more"))))</f>
        <v>50-59</v>
      </c>
      <c r="AC33" s="8">
        <f ca="1">IF(ISBLANK(Table1[[#This Row],[DateofTermination]]),DATEDIF(Table1[[#This Row],[DateofHire]],TODAY(), "M"),DATEDIF(Table1[[#This Row],[DateofHire]],Table1[[#This Row],[DateofTermination]],"M"))/12</f>
        <v>10.333333333333334</v>
      </c>
      <c r="AD33" t="str">
        <f>IF(Table1[[#This Row],[EmpSatisfaction]]=1,"Very Dissatisfied", IF(Table1[[#This Row],[EmpSatisfaction]] = 2, "Dissatisfied", IF(Table1[[#This Row],[EmpSatisfaction]]  = 3, "Neutral", IF(Table1[[#This Row],[EmpSatisfaction]] = 4, "Satisfied", IF(Table1[[#This Row],[EmpSatisfaction]]=5,"Very Satisfied", " ")))))</f>
        <v>Very Satisfied</v>
      </c>
      <c r="AE33">
        <f>YEAR(Table1[[#This Row],[DateofHire]])</f>
        <v>2013</v>
      </c>
      <c r="AF33" t="s">
        <v>25</v>
      </c>
    </row>
    <row r="34" spans="1:32" hidden="1" x14ac:dyDescent="0.3">
      <c r="A34" t="s">
        <v>106</v>
      </c>
      <c r="B34">
        <v>10188</v>
      </c>
      <c r="C34" t="s">
        <v>454</v>
      </c>
      <c r="D34" t="s">
        <v>490</v>
      </c>
      <c r="E34">
        <v>10188</v>
      </c>
      <c r="F34" s="1">
        <v>40770</v>
      </c>
      <c r="G34" s="7">
        <v>74326</v>
      </c>
      <c r="H34" t="s">
        <v>499</v>
      </c>
      <c r="I34" s="1">
        <v>23529</v>
      </c>
      <c r="J34" t="s">
        <v>31</v>
      </c>
      <c r="K34" t="s">
        <v>78</v>
      </c>
      <c r="L34" t="s">
        <v>57</v>
      </c>
      <c r="M34" t="s">
        <v>108</v>
      </c>
      <c r="N34">
        <v>21851</v>
      </c>
      <c r="O34" s="1">
        <v>41853</v>
      </c>
      <c r="P34" t="s">
        <v>516</v>
      </c>
      <c r="Q34" t="s">
        <v>32</v>
      </c>
      <c r="R34" t="s">
        <v>45</v>
      </c>
      <c r="S34" t="s">
        <v>36</v>
      </c>
      <c r="T34">
        <v>3.14</v>
      </c>
      <c r="U34">
        <v>5</v>
      </c>
      <c r="V34" s="1">
        <v>41315</v>
      </c>
      <c r="W34">
        <v>19</v>
      </c>
      <c r="X34" t="str">
        <f>INDEX(Position!B:B,MATCH(Table1[[#This Row],[Position ID]],Position!A:A, 0 ))</f>
        <v>Area Sales Manager</v>
      </c>
      <c r="Y34" t="str">
        <f>INDEX(Department!B:B,MATCH(Table1[[#This Row],[Department ID]],Department!A:A,0))</f>
        <v>Sales</v>
      </c>
      <c r="Z34" t="str">
        <f>INDEX(Manager!B:B,MATCH(Table1[[#This Row],[Manger ID]],Manager!A:A,0))</f>
        <v>John Smith</v>
      </c>
      <c r="AA34">
        <f ca="1">DATEDIF(Table1[[#This Row],[DOB]],TODAY(), "Y")</f>
        <v>59</v>
      </c>
      <c r="AB34" t="str">
        <f ca="1">IF(Table1[[#This Row],[ Age]]&lt;18,"Less than 18",IF(Table1[[#This Row],[ Age]]&lt;=29,"18-29",IF(Table1[[#This Row],[ Age]]&lt;=49,"30-49",IF(Table1[[#This Row],[ Age]]&lt;=59,"50-59","60 or more"))))</f>
        <v>50-59</v>
      </c>
      <c r="AC34" s="8">
        <f ca="1">IF(ISBLANK(Table1[[#This Row],[DateofTermination]]),DATEDIF(Table1[[#This Row],[DateofHire]],TODAY(), "M"),DATEDIF(Table1[[#This Row],[DateofHire]],Table1[[#This Row],[DateofTermination]],"M"))/12</f>
        <v>2.9166666666666665</v>
      </c>
      <c r="AD34" t="str">
        <f>IF(Table1[[#This Row],[EmpSatisfaction]]=1,"Very Dissatisfied", IF(Table1[[#This Row],[EmpSatisfaction]] = 2, "Dissatisfied", IF(Table1[[#This Row],[EmpSatisfaction]]  = 3, "Neutral", IF(Table1[[#This Row],[EmpSatisfaction]] = 4, "Satisfied", IF(Table1[[#This Row],[EmpSatisfaction]]=5,"Very Satisfied", " ")))))</f>
        <v>Very Satisfied</v>
      </c>
      <c r="AE34">
        <f>YEAR(Table1[[#This Row],[DateofHire]])</f>
        <v>2011</v>
      </c>
      <c r="AF34" t="s">
        <v>535</v>
      </c>
    </row>
    <row r="35" spans="1:32" x14ac:dyDescent="0.3">
      <c r="A35" t="s">
        <v>111</v>
      </c>
      <c r="B35">
        <v>10107</v>
      </c>
      <c r="C35" t="s">
        <v>475</v>
      </c>
      <c r="D35" t="s">
        <v>489</v>
      </c>
      <c r="E35">
        <v>10002</v>
      </c>
      <c r="F35" s="1">
        <v>40973</v>
      </c>
      <c r="G35" s="7">
        <v>63763</v>
      </c>
      <c r="H35" t="s">
        <v>499</v>
      </c>
      <c r="I35" s="1">
        <v>29282</v>
      </c>
      <c r="J35" t="s">
        <v>22</v>
      </c>
      <c r="K35" t="s">
        <v>23</v>
      </c>
      <c r="L35" t="s">
        <v>57</v>
      </c>
      <c r="M35" t="s">
        <v>21</v>
      </c>
      <c r="N35">
        <v>2148</v>
      </c>
      <c r="P35" t="s">
        <v>512</v>
      </c>
      <c r="Q35" t="s">
        <v>25</v>
      </c>
      <c r="R35" t="s">
        <v>55</v>
      </c>
      <c r="S35" t="s">
        <v>36</v>
      </c>
      <c r="T35">
        <v>4.51</v>
      </c>
      <c r="U35">
        <v>4</v>
      </c>
      <c r="V35" s="1">
        <v>43517</v>
      </c>
      <c r="W35">
        <v>3</v>
      </c>
      <c r="X35" t="str">
        <f>INDEX(Position!B:B,MATCH(Table1[[#This Row],[Position ID]],Position!A:A, 0 ))</f>
        <v>Production Technician II</v>
      </c>
      <c r="Y35" t="str">
        <f>INDEX(Department!B:B,MATCH(Table1[[#This Row],[Department ID]],Department!A:A,0))</f>
        <v>Production</v>
      </c>
      <c r="Z35" t="str">
        <f>INDEX(Manager!B:B,MATCH(Table1[[#This Row],[Manger ID]],Manager!A:A,0))</f>
        <v>Amy Dunn</v>
      </c>
      <c r="AA35">
        <f ca="1">DATEDIF(Table1[[#This Row],[DOB]],TODAY(), "Y")</f>
        <v>44</v>
      </c>
      <c r="AB35" t="str">
        <f ca="1">IF(Table1[[#This Row],[ Age]]&lt;18,"Less than 18",IF(Table1[[#This Row],[ Age]]&lt;=29,"18-29",IF(Table1[[#This Row],[ Age]]&lt;=49,"30-49",IF(Table1[[#This Row],[ Age]]&lt;=59,"50-59","60 or more"))))</f>
        <v>30-49</v>
      </c>
      <c r="AC35" s="8">
        <f ca="1">IF(ISBLANK(Table1[[#This Row],[DateofTermination]]),DATEDIF(Table1[[#This Row],[DateofHire]],TODAY(), "M"),DATEDIF(Table1[[#This Row],[DateofHire]],Table1[[#This Row],[DateofTermination]],"M"))/12</f>
        <v>12.083333333333334</v>
      </c>
      <c r="AD35" t="str">
        <f>IF(Table1[[#This Row],[EmpSatisfaction]]=1,"Very Dissatisfied", IF(Table1[[#This Row],[EmpSatisfaction]] = 2, "Dissatisfied", IF(Table1[[#This Row],[EmpSatisfaction]]  = 3, "Neutral", IF(Table1[[#This Row],[EmpSatisfaction]] = 4, "Satisfied", IF(Table1[[#This Row],[EmpSatisfaction]]=5,"Very Satisfied", " ")))))</f>
        <v>Satisfied</v>
      </c>
      <c r="AE35">
        <f>YEAR(Table1[[#This Row],[DateofHire]])</f>
        <v>2012</v>
      </c>
      <c r="AF35" t="s">
        <v>25</v>
      </c>
    </row>
    <row r="36" spans="1:32" x14ac:dyDescent="0.3">
      <c r="A36" t="s">
        <v>112</v>
      </c>
      <c r="B36">
        <v>10181</v>
      </c>
      <c r="C36" t="s">
        <v>475</v>
      </c>
      <c r="D36" t="s">
        <v>489</v>
      </c>
      <c r="E36">
        <v>10062</v>
      </c>
      <c r="F36" s="1">
        <v>40637</v>
      </c>
      <c r="G36" s="7">
        <v>62162</v>
      </c>
      <c r="H36" t="s">
        <v>498</v>
      </c>
      <c r="I36" s="1">
        <v>28356</v>
      </c>
      <c r="J36" t="s">
        <v>31</v>
      </c>
      <c r="K36" t="s">
        <v>23</v>
      </c>
      <c r="L36" t="s">
        <v>24</v>
      </c>
      <c r="M36" t="s">
        <v>21</v>
      </c>
      <c r="N36">
        <v>1890</v>
      </c>
      <c r="P36" t="s">
        <v>512</v>
      </c>
      <c r="Q36" t="s">
        <v>25</v>
      </c>
      <c r="R36" t="s">
        <v>35</v>
      </c>
      <c r="S36" t="s">
        <v>36</v>
      </c>
      <c r="T36">
        <v>3.25</v>
      </c>
      <c r="U36">
        <v>5</v>
      </c>
      <c r="V36" s="1">
        <v>43479</v>
      </c>
      <c r="W36">
        <v>15</v>
      </c>
      <c r="X36" t="str">
        <f>INDEX(Position!B:B,MATCH(Table1[[#This Row],[Position ID]],Position!A:A, 0 ))</f>
        <v>Production Technician II</v>
      </c>
      <c r="Y36" t="str">
        <f>INDEX(Department!B:B,MATCH(Table1[[#This Row],[Department ID]],Department!A:A,0))</f>
        <v>Production</v>
      </c>
      <c r="Z36" t="str">
        <f>INDEX(Manager!B:B,MATCH(Table1[[#This Row],[Manger ID]],Manager!A:A,0))</f>
        <v>Ketsia Liebig</v>
      </c>
      <c r="AA36">
        <f ca="1">DATEDIF(Table1[[#This Row],[DOB]],TODAY(), "Y")</f>
        <v>46</v>
      </c>
      <c r="AB36" t="str">
        <f ca="1">IF(Table1[[#This Row],[ Age]]&lt;18,"Less than 18",IF(Table1[[#This Row],[ Age]]&lt;=29,"18-29",IF(Table1[[#This Row],[ Age]]&lt;=49,"30-49",IF(Table1[[#This Row],[ Age]]&lt;=59,"50-59","60 or more"))))</f>
        <v>30-49</v>
      </c>
      <c r="AC36" s="8">
        <f ca="1">IF(ISBLANK(Table1[[#This Row],[DateofTermination]]),DATEDIF(Table1[[#This Row],[DateofHire]],TODAY(), "M"),DATEDIF(Table1[[#This Row],[DateofHire]],Table1[[#This Row],[DateofTermination]],"M"))/12</f>
        <v>13</v>
      </c>
      <c r="AD36" t="str">
        <f>IF(Table1[[#This Row],[EmpSatisfaction]]=1,"Very Dissatisfied", IF(Table1[[#This Row],[EmpSatisfaction]] = 2, "Dissatisfied", IF(Table1[[#This Row],[EmpSatisfaction]]  = 3, "Neutral", IF(Table1[[#This Row],[EmpSatisfaction]] = 4, "Satisfied", IF(Table1[[#This Row],[EmpSatisfaction]]=5,"Very Satisfied", " ")))))</f>
        <v>Very Satisfied</v>
      </c>
      <c r="AE36">
        <f>YEAR(Table1[[#This Row],[DateofHire]])</f>
        <v>2011</v>
      </c>
      <c r="AF36" t="s">
        <v>25</v>
      </c>
    </row>
    <row r="37" spans="1:32" x14ac:dyDescent="0.3">
      <c r="A37" t="s">
        <v>113</v>
      </c>
      <c r="B37">
        <v>10150</v>
      </c>
      <c r="C37" t="s">
        <v>480</v>
      </c>
      <c r="D37" t="s">
        <v>491</v>
      </c>
      <c r="E37">
        <v>10150</v>
      </c>
      <c r="F37" s="1">
        <v>40770</v>
      </c>
      <c r="G37" s="7">
        <v>77692</v>
      </c>
      <c r="H37" t="s">
        <v>498</v>
      </c>
      <c r="I37" s="1">
        <v>24433</v>
      </c>
      <c r="J37" t="s">
        <v>22</v>
      </c>
      <c r="K37" t="s">
        <v>23</v>
      </c>
      <c r="L37" t="s">
        <v>24</v>
      </c>
      <c r="M37" t="s">
        <v>21</v>
      </c>
      <c r="N37">
        <v>2184</v>
      </c>
      <c r="P37" t="s">
        <v>512</v>
      </c>
      <c r="Q37" t="s">
        <v>25</v>
      </c>
      <c r="R37" t="s">
        <v>45</v>
      </c>
      <c r="S37" t="s">
        <v>36</v>
      </c>
      <c r="T37">
        <v>3.84</v>
      </c>
      <c r="U37">
        <v>3</v>
      </c>
      <c r="V37" s="1">
        <v>43486</v>
      </c>
      <c r="W37">
        <v>4</v>
      </c>
      <c r="X37" t="str">
        <f>INDEX(Position!B:B,MATCH(Table1[[#This Row],[Position ID]],Position!A:A, 0 ))</f>
        <v>Software Engineering Manager</v>
      </c>
      <c r="Y37" t="str">
        <f>INDEX(Department!B:B,MATCH(Table1[[#This Row],[Department ID]],Department!A:A,0))</f>
        <v>Software Engineering</v>
      </c>
      <c r="Z37" t="str">
        <f>INDEX(Manager!B:B,MATCH(Table1[[#This Row],[Manger ID]],Manager!A:A,0))</f>
        <v>Jennifer Zamora</v>
      </c>
      <c r="AA37">
        <f ca="1">DATEDIF(Table1[[#This Row],[DOB]],TODAY(), "Y")</f>
        <v>57</v>
      </c>
      <c r="AB37" t="str">
        <f ca="1">IF(Table1[[#This Row],[ Age]]&lt;18,"Less than 18",IF(Table1[[#This Row],[ Age]]&lt;=29,"18-29",IF(Table1[[#This Row],[ Age]]&lt;=49,"30-49",IF(Table1[[#This Row],[ Age]]&lt;=59,"50-59","60 or more"))))</f>
        <v>50-59</v>
      </c>
      <c r="AC37" s="8">
        <f ca="1">IF(ISBLANK(Table1[[#This Row],[DateofTermination]]),DATEDIF(Table1[[#This Row],[DateofHire]],TODAY(), "M"),DATEDIF(Table1[[#This Row],[DateofHire]],Table1[[#This Row],[DateofTermination]],"M"))/12</f>
        <v>12.583333333333334</v>
      </c>
      <c r="AD37" t="str">
        <f>IF(Table1[[#This Row],[EmpSatisfaction]]=1,"Very Dissatisfied", IF(Table1[[#This Row],[EmpSatisfaction]] = 2, "Dissatisfied", IF(Table1[[#This Row],[EmpSatisfaction]]  = 3, "Neutral", IF(Table1[[#This Row],[EmpSatisfaction]] = 4, "Satisfied", IF(Table1[[#This Row],[EmpSatisfaction]]=5,"Very Satisfied", " ")))))</f>
        <v>Neutral</v>
      </c>
      <c r="AE37">
        <f>YEAR(Table1[[#This Row],[DateofHire]])</f>
        <v>2011</v>
      </c>
      <c r="AF37" t="s">
        <v>25</v>
      </c>
    </row>
    <row r="38" spans="1:32" x14ac:dyDescent="0.3">
      <c r="A38" t="s">
        <v>116</v>
      </c>
      <c r="B38">
        <v>10001</v>
      </c>
      <c r="C38" t="s">
        <v>473</v>
      </c>
      <c r="D38" t="s">
        <v>489</v>
      </c>
      <c r="E38">
        <v>10175</v>
      </c>
      <c r="F38" s="1">
        <v>42397</v>
      </c>
      <c r="G38" s="7">
        <v>72640</v>
      </c>
      <c r="H38" t="s">
        <v>498</v>
      </c>
      <c r="I38" s="1">
        <v>30537</v>
      </c>
      <c r="J38" t="s">
        <v>22</v>
      </c>
      <c r="K38" t="s">
        <v>23</v>
      </c>
      <c r="L38" t="s">
        <v>24</v>
      </c>
      <c r="M38" t="s">
        <v>21</v>
      </c>
      <c r="N38">
        <v>2169</v>
      </c>
      <c r="P38" t="s">
        <v>512</v>
      </c>
      <c r="Q38" t="s">
        <v>25</v>
      </c>
      <c r="R38" t="s">
        <v>35</v>
      </c>
      <c r="S38" t="s">
        <v>28</v>
      </c>
      <c r="T38">
        <v>5</v>
      </c>
      <c r="U38">
        <v>3</v>
      </c>
      <c r="V38" s="1">
        <v>43518</v>
      </c>
      <c r="W38">
        <v>14</v>
      </c>
      <c r="X38" t="str">
        <f>INDEX(Position!B:B,MATCH(Table1[[#This Row],[Position ID]],Position!A:A, 0 ))</f>
        <v>Production Manager</v>
      </c>
      <c r="Y38" t="str">
        <f>INDEX(Department!B:B,MATCH(Table1[[#This Row],[Department ID]],Department!A:A,0))</f>
        <v>Production</v>
      </c>
      <c r="Z38" t="str">
        <f>INDEX(Manager!B:B,MATCH(Table1[[#This Row],[Manger ID]],Manager!A:A,0))</f>
        <v>Janet King</v>
      </c>
      <c r="AA38">
        <f ca="1">DATEDIF(Table1[[#This Row],[DOB]],TODAY(), "Y")</f>
        <v>40</v>
      </c>
      <c r="AB38" t="str">
        <f ca="1">IF(Table1[[#This Row],[ Age]]&lt;18,"Less than 18",IF(Table1[[#This Row],[ Age]]&lt;=29,"18-29",IF(Table1[[#This Row],[ Age]]&lt;=49,"30-49",IF(Table1[[#This Row],[ Age]]&lt;=59,"50-59","60 or more"))))</f>
        <v>30-49</v>
      </c>
      <c r="AC38" s="8">
        <f ca="1">IF(ISBLANK(Table1[[#This Row],[DateofTermination]]),DATEDIF(Table1[[#This Row],[DateofHire]],TODAY(), "M"),DATEDIF(Table1[[#This Row],[DateofHire]],Table1[[#This Row],[DateofTermination]],"M"))/12</f>
        <v>8.1666666666666661</v>
      </c>
      <c r="AD38" t="str">
        <f>IF(Table1[[#This Row],[EmpSatisfaction]]=1,"Very Dissatisfied", IF(Table1[[#This Row],[EmpSatisfaction]] = 2, "Dissatisfied", IF(Table1[[#This Row],[EmpSatisfaction]]  = 3, "Neutral", IF(Table1[[#This Row],[EmpSatisfaction]] = 4, "Satisfied", IF(Table1[[#This Row],[EmpSatisfaction]]=5,"Very Satisfied", " ")))))</f>
        <v>Neutral</v>
      </c>
      <c r="AE38">
        <f>YEAR(Table1[[#This Row],[DateofHire]])</f>
        <v>2016</v>
      </c>
      <c r="AF38" t="s">
        <v>25</v>
      </c>
    </row>
    <row r="39" spans="1:32" x14ac:dyDescent="0.3">
      <c r="A39" t="s">
        <v>117</v>
      </c>
      <c r="B39">
        <v>10085</v>
      </c>
      <c r="C39" t="s">
        <v>479</v>
      </c>
      <c r="D39" t="s">
        <v>491</v>
      </c>
      <c r="E39">
        <v>10194</v>
      </c>
      <c r="F39" s="1">
        <v>41589</v>
      </c>
      <c r="G39" s="7">
        <v>93396</v>
      </c>
      <c r="H39" t="s">
        <v>499</v>
      </c>
      <c r="I39" s="1">
        <v>31872</v>
      </c>
      <c r="J39" t="s">
        <v>22</v>
      </c>
      <c r="K39" t="s">
        <v>23</v>
      </c>
      <c r="L39" t="s">
        <v>24</v>
      </c>
      <c r="M39" t="s">
        <v>21</v>
      </c>
      <c r="N39">
        <v>2132</v>
      </c>
      <c r="P39" t="s">
        <v>512</v>
      </c>
      <c r="Q39" t="s">
        <v>25</v>
      </c>
      <c r="R39" t="s">
        <v>35</v>
      </c>
      <c r="S39" t="s">
        <v>36</v>
      </c>
      <c r="T39">
        <v>4.96</v>
      </c>
      <c r="U39">
        <v>4</v>
      </c>
      <c r="V39" s="1">
        <v>43495</v>
      </c>
      <c r="W39">
        <v>3</v>
      </c>
      <c r="X39" t="str">
        <f>INDEX(Position!B:B,MATCH(Table1[[#This Row],[Position ID]],Position!A:A, 0 ))</f>
        <v>Software Engineer</v>
      </c>
      <c r="Y39" t="str">
        <f>INDEX(Department!B:B,MATCH(Table1[[#This Row],[Department ID]],Department!A:A,0))</f>
        <v>Software Engineering</v>
      </c>
      <c r="Z39" t="str">
        <f>INDEX(Manager!B:B,MATCH(Table1[[#This Row],[Manger ID]],Manager!A:A,0))</f>
        <v>Alex Sweetwater</v>
      </c>
      <c r="AA39">
        <f ca="1">DATEDIF(Table1[[#This Row],[DOB]],TODAY(), "Y")</f>
        <v>37</v>
      </c>
      <c r="AB39" t="str">
        <f ca="1">IF(Table1[[#This Row],[ Age]]&lt;18,"Less than 18",IF(Table1[[#This Row],[ Age]]&lt;=29,"18-29",IF(Table1[[#This Row],[ Age]]&lt;=49,"30-49",IF(Table1[[#This Row],[ Age]]&lt;=59,"50-59","60 or more"))))</f>
        <v>30-49</v>
      </c>
      <c r="AC39" s="8">
        <f ca="1">IF(ISBLANK(Table1[[#This Row],[DateofTermination]]),DATEDIF(Table1[[#This Row],[DateofHire]],TODAY(), "M"),DATEDIF(Table1[[#This Row],[DateofHire]],Table1[[#This Row],[DateofTermination]],"M"))/12</f>
        <v>10.333333333333334</v>
      </c>
      <c r="AD39" t="str">
        <f>IF(Table1[[#This Row],[EmpSatisfaction]]=1,"Very Dissatisfied", IF(Table1[[#This Row],[EmpSatisfaction]] = 2, "Dissatisfied", IF(Table1[[#This Row],[EmpSatisfaction]]  = 3, "Neutral", IF(Table1[[#This Row],[EmpSatisfaction]] = 4, "Satisfied", IF(Table1[[#This Row],[EmpSatisfaction]]=5,"Very Satisfied", " ")))))</f>
        <v>Satisfied</v>
      </c>
      <c r="AE39">
        <f>YEAR(Table1[[#This Row],[DateofHire]])</f>
        <v>2013</v>
      </c>
      <c r="AF39" t="s">
        <v>25</v>
      </c>
    </row>
    <row r="40" spans="1:32" x14ac:dyDescent="0.3">
      <c r="A40" t="s">
        <v>118</v>
      </c>
      <c r="B40">
        <v>10115</v>
      </c>
      <c r="C40" t="s">
        <v>474</v>
      </c>
      <c r="D40" t="s">
        <v>489</v>
      </c>
      <c r="E40">
        <v>10265</v>
      </c>
      <c r="F40" s="1">
        <v>41729</v>
      </c>
      <c r="G40" s="7">
        <v>52846</v>
      </c>
      <c r="H40" t="s">
        <v>498</v>
      </c>
      <c r="I40" s="1">
        <v>30349</v>
      </c>
      <c r="J40" t="s">
        <v>22</v>
      </c>
      <c r="K40" t="s">
        <v>23</v>
      </c>
      <c r="L40" t="s">
        <v>57</v>
      </c>
      <c r="M40" t="s">
        <v>21</v>
      </c>
      <c r="N40">
        <v>1701</v>
      </c>
      <c r="P40" t="s">
        <v>512</v>
      </c>
      <c r="Q40" t="s">
        <v>25</v>
      </c>
      <c r="R40" t="s">
        <v>27</v>
      </c>
      <c r="S40" t="s">
        <v>36</v>
      </c>
      <c r="T40">
        <v>4.43</v>
      </c>
      <c r="U40">
        <v>3</v>
      </c>
      <c r="V40" s="1">
        <v>43497</v>
      </c>
      <c r="W40">
        <v>14</v>
      </c>
      <c r="X40" t="str">
        <f>INDEX(Position!B:B,MATCH(Table1[[#This Row],[Position ID]],Position!A:A, 0 ))</f>
        <v>Production Technician I</v>
      </c>
      <c r="Y40" t="str">
        <f>INDEX(Department!B:B,MATCH(Table1[[#This Row],[Department ID]],Department!A:A,0))</f>
        <v>Production</v>
      </c>
      <c r="Z40" t="str">
        <f>INDEX(Manager!B:B,MATCH(Table1[[#This Row],[Manger ID]],Manager!A:A,0))</f>
        <v>Kelley Spirea</v>
      </c>
      <c r="AA40">
        <f ca="1">DATEDIF(Table1[[#This Row],[DOB]],TODAY(), "Y")</f>
        <v>41</v>
      </c>
      <c r="AB40" t="str">
        <f ca="1">IF(Table1[[#This Row],[ Age]]&lt;18,"Less than 18",IF(Table1[[#This Row],[ Age]]&lt;=29,"18-29",IF(Table1[[#This Row],[ Age]]&lt;=49,"30-49",IF(Table1[[#This Row],[ Age]]&lt;=59,"50-59","60 or more"))))</f>
        <v>30-49</v>
      </c>
      <c r="AC40" s="8">
        <f ca="1">IF(ISBLANK(Table1[[#This Row],[DateofTermination]]),DATEDIF(Table1[[#This Row],[DateofHire]],TODAY(), "M"),DATEDIF(Table1[[#This Row],[DateofHire]],Table1[[#This Row],[DateofTermination]],"M"))/12</f>
        <v>10</v>
      </c>
      <c r="AD40" t="str">
        <f>IF(Table1[[#This Row],[EmpSatisfaction]]=1,"Very Dissatisfied", IF(Table1[[#This Row],[EmpSatisfaction]] = 2, "Dissatisfied", IF(Table1[[#This Row],[EmpSatisfaction]]  = 3, "Neutral", IF(Table1[[#This Row],[EmpSatisfaction]] = 4, "Satisfied", IF(Table1[[#This Row],[EmpSatisfaction]]=5,"Very Satisfied", " ")))))</f>
        <v>Neutral</v>
      </c>
      <c r="AE40">
        <f>YEAR(Table1[[#This Row],[DateofHire]])</f>
        <v>2014</v>
      </c>
      <c r="AF40" t="s">
        <v>25</v>
      </c>
    </row>
    <row r="41" spans="1:32" x14ac:dyDescent="0.3">
      <c r="A41" t="s">
        <v>119</v>
      </c>
      <c r="B41">
        <v>10082</v>
      </c>
      <c r="C41" t="s">
        <v>482</v>
      </c>
      <c r="D41" t="s">
        <v>488</v>
      </c>
      <c r="E41">
        <v>10084</v>
      </c>
      <c r="F41" s="1">
        <v>42551</v>
      </c>
      <c r="G41" s="7">
        <v>100031</v>
      </c>
      <c r="H41" t="s">
        <v>499</v>
      </c>
      <c r="I41" s="1">
        <v>31569</v>
      </c>
      <c r="J41" t="s">
        <v>22</v>
      </c>
      <c r="K41" t="s">
        <v>23</v>
      </c>
      <c r="L41" t="s">
        <v>57</v>
      </c>
      <c r="M41" t="s">
        <v>21</v>
      </c>
      <c r="N41">
        <v>1886</v>
      </c>
      <c r="P41" t="s">
        <v>512</v>
      </c>
      <c r="Q41" t="s">
        <v>25</v>
      </c>
      <c r="R41" t="s">
        <v>27</v>
      </c>
      <c r="S41" t="s">
        <v>36</v>
      </c>
      <c r="T41">
        <v>5</v>
      </c>
      <c r="U41">
        <v>5</v>
      </c>
      <c r="V41" s="1">
        <v>43514</v>
      </c>
      <c r="W41">
        <v>7</v>
      </c>
      <c r="X41" t="str">
        <f>INDEX(Position!B:B,MATCH(Table1[[#This Row],[Position ID]],Position!A:A, 0 ))</f>
        <v>Sr. DBA</v>
      </c>
      <c r="Y41" t="str">
        <f>INDEX(Department!B:B,MATCH(Table1[[#This Row],[Department ID]],Department!A:A,0))</f>
        <v>IT/IS</v>
      </c>
      <c r="Z41" t="str">
        <f>INDEX(Manager!B:B,MATCH(Table1[[#This Row],[Manger ID]],Manager!A:A,0))</f>
        <v>Simon Roup</v>
      </c>
      <c r="AA41">
        <f ca="1">DATEDIF(Table1[[#This Row],[DOB]],TODAY(), "Y")</f>
        <v>37</v>
      </c>
      <c r="AB41" t="str">
        <f ca="1">IF(Table1[[#This Row],[ Age]]&lt;18,"Less than 18",IF(Table1[[#This Row],[ Age]]&lt;=29,"18-29",IF(Table1[[#This Row],[ Age]]&lt;=49,"30-49",IF(Table1[[#This Row],[ Age]]&lt;=59,"50-59","60 or more"))))</f>
        <v>30-49</v>
      </c>
      <c r="AC41" s="8">
        <f ca="1">IF(ISBLANK(Table1[[#This Row],[DateofTermination]]),DATEDIF(Table1[[#This Row],[DateofHire]],TODAY(), "M"),DATEDIF(Table1[[#This Row],[DateofHire]],Table1[[#This Row],[DateofTermination]],"M"))/12</f>
        <v>7.75</v>
      </c>
      <c r="AD41" t="str">
        <f>IF(Table1[[#This Row],[EmpSatisfaction]]=1,"Very Dissatisfied", IF(Table1[[#This Row],[EmpSatisfaction]] = 2, "Dissatisfied", IF(Table1[[#This Row],[EmpSatisfaction]]  = 3, "Neutral", IF(Table1[[#This Row],[EmpSatisfaction]] = 4, "Satisfied", IF(Table1[[#This Row],[EmpSatisfaction]]=5,"Very Satisfied", " ")))))</f>
        <v>Very Satisfied</v>
      </c>
      <c r="AE41">
        <f>YEAR(Table1[[#This Row],[DateofHire]])</f>
        <v>2016</v>
      </c>
      <c r="AF41" t="s">
        <v>25</v>
      </c>
    </row>
    <row r="42" spans="1:32" x14ac:dyDescent="0.3">
      <c r="A42" t="s">
        <v>120</v>
      </c>
      <c r="B42">
        <v>10040</v>
      </c>
      <c r="C42" t="s">
        <v>454</v>
      </c>
      <c r="D42" t="s">
        <v>490</v>
      </c>
      <c r="E42">
        <v>10188</v>
      </c>
      <c r="F42" s="1">
        <v>41869</v>
      </c>
      <c r="G42" s="7">
        <v>71860</v>
      </c>
      <c r="H42" t="s">
        <v>499</v>
      </c>
      <c r="I42" s="1">
        <v>23146</v>
      </c>
      <c r="J42" t="s">
        <v>22</v>
      </c>
      <c r="K42" t="s">
        <v>23</v>
      </c>
      <c r="L42" t="s">
        <v>24</v>
      </c>
      <c r="M42" t="s">
        <v>121</v>
      </c>
      <c r="N42">
        <v>5664</v>
      </c>
      <c r="P42" t="s">
        <v>512</v>
      </c>
      <c r="Q42" t="s">
        <v>25</v>
      </c>
      <c r="R42" t="s">
        <v>35</v>
      </c>
      <c r="S42" t="s">
        <v>36</v>
      </c>
      <c r="T42">
        <v>5</v>
      </c>
      <c r="U42">
        <v>5</v>
      </c>
      <c r="V42" s="1">
        <v>43486</v>
      </c>
      <c r="W42">
        <v>7</v>
      </c>
      <c r="X42" t="str">
        <f>INDEX(Position!B:B,MATCH(Table1[[#This Row],[Position ID]],Position!A:A, 0 ))</f>
        <v>Area Sales Manager</v>
      </c>
      <c r="Y42" t="str">
        <f>INDEX(Department!B:B,MATCH(Table1[[#This Row],[Department ID]],Department!A:A,0))</f>
        <v>Sales</v>
      </c>
      <c r="Z42" t="str">
        <f>INDEX(Manager!B:B,MATCH(Table1[[#This Row],[Manger ID]],Manager!A:A,0))</f>
        <v>John Smith</v>
      </c>
      <c r="AA42">
        <f ca="1">DATEDIF(Table1[[#This Row],[DOB]],TODAY(), "Y")</f>
        <v>60</v>
      </c>
      <c r="AB42" t="str">
        <f ca="1">IF(Table1[[#This Row],[ Age]]&lt;18,"Less than 18",IF(Table1[[#This Row],[ Age]]&lt;=29,"18-29",IF(Table1[[#This Row],[ Age]]&lt;=49,"30-49",IF(Table1[[#This Row],[ Age]]&lt;=59,"50-59","60 or more"))))</f>
        <v>60 or more</v>
      </c>
      <c r="AC42" s="8">
        <f ca="1">IF(ISBLANK(Table1[[#This Row],[DateofTermination]]),DATEDIF(Table1[[#This Row],[DateofHire]],TODAY(), "M"),DATEDIF(Table1[[#This Row],[DateofHire]],Table1[[#This Row],[DateofTermination]],"M"))/12</f>
        <v>9.5833333333333339</v>
      </c>
      <c r="AD42" t="str">
        <f>IF(Table1[[#This Row],[EmpSatisfaction]]=1,"Very Dissatisfied", IF(Table1[[#This Row],[EmpSatisfaction]] = 2, "Dissatisfied", IF(Table1[[#This Row],[EmpSatisfaction]]  = 3, "Neutral", IF(Table1[[#This Row],[EmpSatisfaction]] = 4, "Satisfied", IF(Table1[[#This Row],[EmpSatisfaction]]=5,"Very Satisfied", " ")))))</f>
        <v>Very Satisfied</v>
      </c>
      <c r="AE42">
        <f>YEAR(Table1[[#This Row],[DateofHire]])</f>
        <v>2014</v>
      </c>
      <c r="AF42" t="s">
        <v>25</v>
      </c>
    </row>
    <row r="43" spans="1:32" x14ac:dyDescent="0.3">
      <c r="A43" t="s">
        <v>122</v>
      </c>
      <c r="B43">
        <v>10067</v>
      </c>
      <c r="C43" t="s">
        <v>474</v>
      </c>
      <c r="D43" t="s">
        <v>489</v>
      </c>
      <c r="E43">
        <v>10026</v>
      </c>
      <c r="F43" s="1">
        <v>41911</v>
      </c>
      <c r="G43" s="7">
        <v>61656</v>
      </c>
      <c r="H43" t="s">
        <v>499</v>
      </c>
      <c r="I43" s="1">
        <v>18630</v>
      </c>
      <c r="J43" t="s">
        <v>22</v>
      </c>
      <c r="K43" t="s">
        <v>23</v>
      </c>
      <c r="L43" t="s">
        <v>24</v>
      </c>
      <c r="M43" t="s">
        <v>21</v>
      </c>
      <c r="N43">
        <v>2763</v>
      </c>
      <c r="P43" t="s">
        <v>512</v>
      </c>
      <c r="Q43" t="s">
        <v>25</v>
      </c>
      <c r="R43" t="s">
        <v>45</v>
      </c>
      <c r="S43" t="s">
        <v>36</v>
      </c>
      <c r="T43">
        <v>5</v>
      </c>
      <c r="U43">
        <v>4</v>
      </c>
      <c r="V43" s="1">
        <v>43508</v>
      </c>
      <c r="W43">
        <v>11</v>
      </c>
      <c r="X43" t="str">
        <f>INDEX(Position!B:B,MATCH(Table1[[#This Row],[Position ID]],Position!A:A, 0 ))</f>
        <v>Production Technician I</v>
      </c>
      <c r="Y43" t="str">
        <f>INDEX(Department!B:B,MATCH(Table1[[#This Row],[Department ID]],Department!A:A,0))</f>
        <v>Production</v>
      </c>
      <c r="Z43" t="str">
        <f>INDEX(Manager!B:B,MATCH(Table1[[#This Row],[Manger ID]],Manager!A:A,0))</f>
        <v>Michael Albert</v>
      </c>
      <c r="AA43">
        <f ca="1">DATEDIF(Table1[[#This Row],[DOB]],TODAY(), "Y")</f>
        <v>73</v>
      </c>
      <c r="AB43" t="str">
        <f ca="1">IF(Table1[[#This Row],[ Age]]&lt;18,"Less than 18",IF(Table1[[#This Row],[ Age]]&lt;=29,"18-29",IF(Table1[[#This Row],[ Age]]&lt;=49,"30-49",IF(Table1[[#This Row],[ Age]]&lt;=59,"50-59","60 or more"))))</f>
        <v>60 or more</v>
      </c>
      <c r="AC43" s="8">
        <f ca="1">IF(ISBLANK(Table1[[#This Row],[DateofTermination]]),DATEDIF(Table1[[#This Row],[DateofHire]],TODAY(), "M"),DATEDIF(Table1[[#This Row],[DateofHire]],Table1[[#This Row],[DateofTermination]],"M"))/12</f>
        <v>9.5</v>
      </c>
      <c r="AD43" t="str">
        <f>IF(Table1[[#This Row],[EmpSatisfaction]]=1,"Very Dissatisfied", IF(Table1[[#This Row],[EmpSatisfaction]] = 2, "Dissatisfied", IF(Table1[[#This Row],[EmpSatisfaction]]  = 3, "Neutral", IF(Table1[[#This Row],[EmpSatisfaction]] = 4, "Satisfied", IF(Table1[[#This Row],[EmpSatisfaction]]=5,"Very Satisfied", " ")))))</f>
        <v>Satisfied</v>
      </c>
      <c r="AE43">
        <f>YEAR(Table1[[#This Row],[DateofHire]])</f>
        <v>2014</v>
      </c>
      <c r="AF43" t="s">
        <v>25</v>
      </c>
    </row>
    <row r="44" spans="1:32" x14ac:dyDescent="0.3">
      <c r="A44" t="s">
        <v>123</v>
      </c>
      <c r="B44">
        <v>10108</v>
      </c>
      <c r="C44" t="s">
        <v>456</v>
      </c>
      <c r="D44" t="s">
        <v>488</v>
      </c>
      <c r="E44">
        <v>10150</v>
      </c>
      <c r="F44" s="1">
        <v>42619</v>
      </c>
      <c r="G44" s="7">
        <v>110929</v>
      </c>
      <c r="H44" t="s">
        <v>498</v>
      </c>
      <c r="I44" s="1">
        <v>26338</v>
      </c>
      <c r="J44" t="s">
        <v>31</v>
      </c>
      <c r="K44" t="s">
        <v>23</v>
      </c>
      <c r="L44" t="s">
        <v>24</v>
      </c>
      <c r="M44" t="s">
        <v>21</v>
      </c>
      <c r="N44">
        <v>2045</v>
      </c>
      <c r="P44" t="s">
        <v>512</v>
      </c>
      <c r="Q44" t="s">
        <v>25</v>
      </c>
      <c r="R44" t="s">
        <v>35</v>
      </c>
      <c r="S44" t="s">
        <v>36</v>
      </c>
      <c r="T44">
        <v>4.5</v>
      </c>
      <c r="U44">
        <v>5</v>
      </c>
      <c r="V44" s="1">
        <v>43480</v>
      </c>
      <c r="W44">
        <v>8</v>
      </c>
      <c r="X44" t="str">
        <f>INDEX(Position!B:B,MATCH(Table1[[#This Row],[Position ID]],Position!A:A, 0 ))</f>
        <v>BI Director</v>
      </c>
      <c r="Y44" t="str">
        <f>INDEX(Department!B:B,MATCH(Table1[[#This Row],[Department ID]],Department!A:A,0))</f>
        <v>IT/IS</v>
      </c>
      <c r="Z44" t="str">
        <f>INDEX(Manager!B:B,MATCH(Table1[[#This Row],[Manger ID]],Manager!A:A,0))</f>
        <v>Jennifer Zamora</v>
      </c>
      <c r="AA44">
        <f ca="1">DATEDIF(Table1[[#This Row],[DOB]],TODAY(), "Y")</f>
        <v>52</v>
      </c>
      <c r="AB44" t="str">
        <f ca="1">IF(Table1[[#This Row],[ Age]]&lt;18,"Less than 18",IF(Table1[[#This Row],[ Age]]&lt;=29,"18-29",IF(Table1[[#This Row],[ Age]]&lt;=49,"30-49",IF(Table1[[#This Row],[ Age]]&lt;=59,"50-59","60 or more"))))</f>
        <v>50-59</v>
      </c>
      <c r="AC44" s="8">
        <f ca="1">IF(ISBLANK(Table1[[#This Row],[DateofTermination]]),DATEDIF(Table1[[#This Row],[DateofHire]],TODAY(), "M"),DATEDIF(Table1[[#This Row],[DateofHire]],Table1[[#This Row],[DateofTermination]],"M"))/12</f>
        <v>7.583333333333333</v>
      </c>
      <c r="AD44" t="str">
        <f>IF(Table1[[#This Row],[EmpSatisfaction]]=1,"Very Dissatisfied", IF(Table1[[#This Row],[EmpSatisfaction]] = 2, "Dissatisfied", IF(Table1[[#This Row],[EmpSatisfaction]]  = 3, "Neutral", IF(Table1[[#This Row],[EmpSatisfaction]] = 4, "Satisfied", IF(Table1[[#This Row],[EmpSatisfaction]]=5,"Very Satisfied", " ")))))</f>
        <v>Very Satisfied</v>
      </c>
      <c r="AE44">
        <f>YEAR(Table1[[#This Row],[DateofHire]])</f>
        <v>2016</v>
      </c>
      <c r="AF44" t="s">
        <v>25</v>
      </c>
    </row>
    <row r="45" spans="1:32" x14ac:dyDescent="0.3">
      <c r="A45" t="s">
        <v>125</v>
      </c>
      <c r="B45">
        <v>10210</v>
      </c>
      <c r="C45" t="s">
        <v>474</v>
      </c>
      <c r="D45" t="s">
        <v>489</v>
      </c>
      <c r="E45">
        <v>10088</v>
      </c>
      <c r="F45" s="1">
        <v>41771</v>
      </c>
      <c r="G45" s="7">
        <v>54237</v>
      </c>
      <c r="H45" t="s">
        <v>499</v>
      </c>
      <c r="I45" s="1">
        <v>28898</v>
      </c>
      <c r="J45" t="s">
        <v>22</v>
      </c>
      <c r="K45" t="s">
        <v>23</v>
      </c>
      <c r="L45" t="s">
        <v>24</v>
      </c>
      <c r="M45" t="s">
        <v>21</v>
      </c>
      <c r="N45">
        <v>2170</v>
      </c>
      <c r="P45" t="s">
        <v>512</v>
      </c>
      <c r="Q45" t="s">
        <v>25</v>
      </c>
      <c r="R45" t="s">
        <v>35</v>
      </c>
      <c r="S45" t="s">
        <v>36</v>
      </c>
      <c r="T45">
        <v>3.3</v>
      </c>
      <c r="U45">
        <v>4</v>
      </c>
      <c r="V45" s="1">
        <v>43515</v>
      </c>
      <c r="W45">
        <v>11</v>
      </c>
      <c r="X45" t="str">
        <f>INDEX(Position!B:B,MATCH(Table1[[#This Row],[Position ID]],Position!A:A, 0 ))</f>
        <v>Production Technician I</v>
      </c>
      <c r="Y45" t="str">
        <f>INDEX(Department!B:B,MATCH(Table1[[#This Row],[Department ID]],Department!A:A,0))</f>
        <v>Production</v>
      </c>
      <c r="Z45" t="str">
        <f>INDEX(Manager!B:B,MATCH(Table1[[#This Row],[Manger ID]],Manager!A:A,0))</f>
        <v>Elijiah Gray</v>
      </c>
      <c r="AA45">
        <f ca="1">DATEDIF(Table1[[#This Row],[DOB]],TODAY(), "Y")</f>
        <v>45</v>
      </c>
      <c r="AB45" t="str">
        <f ca="1">IF(Table1[[#This Row],[ Age]]&lt;18,"Less than 18",IF(Table1[[#This Row],[ Age]]&lt;=29,"18-29",IF(Table1[[#This Row],[ Age]]&lt;=49,"30-49",IF(Table1[[#This Row],[ Age]]&lt;=59,"50-59","60 or more"))))</f>
        <v>30-49</v>
      </c>
      <c r="AC45" s="8">
        <f ca="1">IF(ISBLANK(Table1[[#This Row],[DateofTermination]]),DATEDIF(Table1[[#This Row],[DateofHire]],TODAY(), "M"),DATEDIF(Table1[[#This Row],[DateofHire]],Table1[[#This Row],[DateofTermination]],"M"))/12</f>
        <v>9.8333333333333339</v>
      </c>
      <c r="AD45" t="str">
        <f>IF(Table1[[#This Row],[EmpSatisfaction]]=1,"Very Dissatisfied", IF(Table1[[#This Row],[EmpSatisfaction]] = 2, "Dissatisfied", IF(Table1[[#This Row],[EmpSatisfaction]]  = 3, "Neutral", IF(Table1[[#This Row],[EmpSatisfaction]] = 4, "Satisfied", IF(Table1[[#This Row],[EmpSatisfaction]]=5,"Very Satisfied", " ")))))</f>
        <v>Satisfied</v>
      </c>
      <c r="AE45">
        <f>YEAR(Table1[[#This Row],[DateofHire]])</f>
        <v>2014</v>
      </c>
      <c r="AF45" t="s">
        <v>25</v>
      </c>
    </row>
    <row r="46" spans="1:32" x14ac:dyDescent="0.3">
      <c r="A46" t="s">
        <v>126</v>
      </c>
      <c r="B46">
        <v>10154</v>
      </c>
      <c r="C46" t="s">
        <v>474</v>
      </c>
      <c r="D46" t="s">
        <v>489</v>
      </c>
      <c r="E46">
        <v>10069</v>
      </c>
      <c r="F46" s="1">
        <v>41463</v>
      </c>
      <c r="G46" s="7">
        <v>60380</v>
      </c>
      <c r="H46" t="s">
        <v>498</v>
      </c>
      <c r="I46" s="1">
        <v>30552</v>
      </c>
      <c r="J46" t="s">
        <v>22</v>
      </c>
      <c r="K46" t="s">
        <v>23</v>
      </c>
      <c r="L46" t="s">
        <v>24</v>
      </c>
      <c r="M46" t="s">
        <v>21</v>
      </c>
      <c r="N46">
        <v>1845</v>
      </c>
      <c r="P46" t="s">
        <v>512</v>
      </c>
      <c r="Q46" t="s">
        <v>25</v>
      </c>
      <c r="R46" t="s">
        <v>27</v>
      </c>
      <c r="S46" t="s">
        <v>36</v>
      </c>
      <c r="T46">
        <v>3.8</v>
      </c>
      <c r="U46">
        <v>5</v>
      </c>
      <c r="V46" s="1">
        <v>43479</v>
      </c>
      <c r="W46">
        <v>4</v>
      </c>
      <c r="X46" t="str">
        <f>INDEX(Position!B:B,MATCH(Table1[[#This Row],[Position ID]],Position!A:A, 0 ))</f>
        <v>Production Technician I</v>
      </c>
      <c r="Y46" t="str">
        <f>INDEX(Department!B:B,MATCH(Table1[[#This Row],[Department ID]],Department!A:A,0))</f>
        <v>Production</v>
      </c>
      <c r="Z46" t="str">
        <f>INDEX(Manager!B:B,MATCH(Table1[[#This Row],[Manger ID]],Manager!A:A,0))</f>
        <v>Webster Butler</v>
      </c>
      <c r="AA46">
        <f ca="1">DATEDIF(Table1[[#This Row],[DOB]],TODAY(), "Y")</f>
        <v>40</v>
      </c>
      <c r="AB46" t="str">
        <f ca="1">IF(Table1[[#This Row],[ Age]]&lt;18,"Less than 18",IF(Table1[[#This Row],[ Age]]&lt;=29,"18-29",IF(Table1[[#This Row],[ Age]]&lt;=49,"30-49",IF(Table1[[#This Row],[ Age]]&lt;=59,"50-59","60 or more"))))</f>
        <v>30-49</v>
      </c>
      <c r="AC46" s="8">
        <f ca="1">IF(ISBLANK(Table1[[#This Row],[DateofTermination]]),DATEDIF(Table1[[#This Row],[DateofHire]],TODAY(), "M"),DATEDIF(Table1[[#This Row],[DateofHire]],Table1[[#This Row],[DateofTermination]],"M"))/12</f>
        <v>10.75</v>
      </c>
      <c r="AD46" t="str">
        <f>IF(Table1[[#This Row],[EmpSatisfaction]]=1,"Very Dissatisfied", IF(Table1[[#This Row],[EmpSatisfaction]] = 2, "Dissatisfied", IF(Table1[[#This Row],[EmpSatisfaction]]  = 3, "Neutral", IF(Table1[[#This Row],[EmpSatisfaction]] = 4, "Satisfied", IF(Table1[[#This Row],[EmpSatisfaction]]=5,"Very Satisfied", " ")))))</f>
        <v>Very Satisfied</v>
      </c>
      <c r="AE46">
        <f>YEAR(Table1[[#This Row],[DateofHire]])</f>
        <v>2013</v>
      </c>
      <c r="AF46" t="s">
        <v>25</v>
      </c>
    </row>
    <row r="47" spans="1:32" x14ac:dyDescent="0.3">
      <c r="A47" t="s">
        <v>127</v>
      </c>
      <c r="B47">
        <v>10200</v>
      </c>
      <c r="C47" t="s">
        <v>454</v>
      </c>
      <c r="D47" t="s">
        <v>490</v>
      </c>
      <c r="E47">
        <v>10200</v>
      </c>
      <c r="F47" s="1">
        <v>41043</v>
      </c>
      <c r="G47" s="7">
        <v>66808</v>
      </c>
      <c r="H47" t="s">
        <v>498</v>
      </c>
      <c r="I47" s="1">
        <v>25730</v>
      </c>
      <c r="J47" t="s">
        <v>22</v>
      </c>
      <c r="K47" t="s">
        <v>78</v>
      </c>
      <c r="L47" t="s">
        <v>57</v>
      </c>
      <c r="M47" t="s">
        <v>68</v>
      </c>
      <c r="N47">
        <v>78207</v>
      </c>
      <c r="P47" t="s">
        <v>512</v>
      </c>
      <c r="Q47" t="s">
        <v>25</v>
      </c>
      <c r="R47" t="s">
        <v>55</v>
      </c>
      <c r="S47" t="s">
        <v>36</v>
      </c>
      <c r="T47">
        <v>3</v>
      </c>
      <c r="U47">
        <v>5</v>
      </c>
      <c r="V47" s="1">
        <v>43484</v>
      </c>
      <c r="W47">
        <v>17</v>
      </c>
      <c r="X47" t="str">
        <f>INDEX(Position!B:B,MATCH(Table1[[#This Row],[Position ID]],Position!A:A, 0 ))</f>
        <v>Area Sales Manager</v>
      </c>
      <c r="Y47" t="str">
        <f>INDEX(Department!B:B,MATCH(Table1[[#This Row],[Department ID]],Department!A:A,0))</f>
        <v>Sales</v>
      </c>
      <c r="Z47" t="str">
        <f>INDEX(Manager!B:B,MATCH(Table1[[#This Row],[Manger ID]],Manager!A:A,0))</f>
        <v>Lynn Daneault</v>
      </c>
      <c r="AA47">
        <f ca="1">DATEDIF(Table1[[#This Row],[DOB]],TODAY(), "Y")</f>
        <v>53</v>
      </c>
      <c r="AB47" t="str">
        <f ca="1">IF(Table1[[#This Row],[ Age]]&lt;18,"Less than 18",IF(Table1[[#This Row],[ Age]]&lt;=29,"18-29",IF(Table1[[#This Row],[ Age]]&lt;=49,"30-49",IF(Table1[[#This Row],[ Age]]&lt;=59,"50-59","60 or more"))))</f>
        <v>50-59</v>
      </c>
      <c r="AC47" s="8">
        <f ca="1">IF(ISBLANK(Table1[[#This Row],[DateofTermination]]),DATEDIF(Table1[[#This Row],[DateofHire]],TODAY(), "M"),DATEDIF(Table1[[#This Row],[DateofHire]],Table1[[#This Row],[DateofTermination]],"M"))/12</f>
        <v>11.833333333333334</v>
      </c>
      <c r="AD47" t="str">
        <f>IF(Table1[[#This Row],[EmpSatisfaction]]=1,"Very Dissatisfied", IF(Table1[[#This Row],[EmpSatisfaction]] = 2, "Dissatisfied", IF(Table1[[#This Row],[EmpSatisfaction]]  = 3, "Neutral", IF(Table1[[#This Row],[EmpSatisfaction]] = 4, "Satisfied", IF(Table1[[#This Row],[EmpSatisfaction]]=5,"Very Satisfied", " ")))))</f>
        <v>Very Satisfied</v>
      </c>
      <c r="AE47">
        <f>YEAR(Table1[[#This Row],[DateofHire]])</f>
        <v>2012</v>
      </c>
      <c r="AF47" t="s">
        <v>25</v>
      </c>
    </row>
    <row r="48" spans="1:32" hidden="1" x14ac:dyDescent="0.3">
      <c r="A48" t="s">
        <v>129</v>
      </c>
      <c r="B48">
        <v>10240</v>
      </c>
      <c r="C48" t="s">
        <v>474</v>
      </c>
      <c r="D48" t="s">
        <v>489</v>
      </c>
      <c r="E48">
        <v>10002</v>
      </c>
      <c r="F48" s="1">
        <v>40721</v>
      </c>
      <c r="G48" s="7">
        <v>64786</v>
      </c>
      <c r="H48" t="s">
        <v>499</v>
      </c>
      <c r="I48" s="1">
        <v>30555</v>
      </c>
      <c r="J48" t="s">
        <v>22</v>
      </c>
      <c r="K48" t="s">
        <v>23</v>
      </c>
      <c r="L48" t="s">
        <v>24</v>
      </c>
      <c r="M48" t="s">
        <v>21</v>
      </c>
      <c r="N48">
        <v>1775</v>
      </c>
      <c r="O48" s="1">
        <v>42323</v>
      </c>
      <c r="P48" t="s">
        <v>522</v>
      </c>
      <c r="Q48" t="s">
        <v>32</v>
      </c>
      <c r="R48" t="s">
        <v>35</v>
      </c>
      <c r="S48" t="s">
        <v>36</v>
      </c>
      <c r="T48">
        <v>4.3</v>
      </c>
      <c r="U48">
        <v>4</v>
      </c>
      <c r="V48" s="1">
        <v>42073</v>
      </c>
      <c r="W48">
        <v>3</v>
      </c>
      <c r="X48" t="str">
        <f>INDEX(Position!B:B,MATCH(Table1[[#This Row],[Position ID]],Position!A:A, 0 ))</f>
        <v>Production Technician I</v>
      </c>
      <c r="Y48" t="str">
        <f>INDEX(Department!B:B,MATCH(Table1[[#This Row],[Department ID]],Department!A:A,0))</f>
        <v>Production</v>
      </c>
      <c r="Z48" t="str">
        <f>INDEX(Manager!B:B,MATCH(Table1[[#This Row],[Manger ID]],Manager!A:A,0))</f>
        <v>Amy Dunn</v>
      </c>
      <c r="AA48">
        <f ca="1">DATEDIF(Table1[[#This Row],[DOB]],TODAY(), "Y")</f>
        <v>40</v>
      </c>
      <c r="AB48" t="str">
        <f ca="1">IF(Table1[[#This Row],[ Age]]&lt;18,"Less than 18",IF(Table1[[#This Row],[ Age]]&lt;=29,"18-29",IF(Table1[[#This Row],[ Age]]&lt;=49,"30-49",IF(Table1[[#This Row],[ Age]]&lt;=59,"50-59","60 or more"))))</f>
        <v>30-49</v>
      </c>
      <c r="AC48" s="8">
        <f ca="1">IF(ISBLANK(Table1[[#This Row],[DateofTermination]]),DATEDIF(Table1[[#This Row],[DateofHire]],TODAY(), "M"),DATEDIF(Table1[[#This Row],[DateofHire]],Table1[[#This Row],[DateofTermination]],"M"))/12</f>
        <v>4.333333333333333</v>
      </c>
      <c r="AD48" t="str">
        <f>IF(Table1[[#This Row],[EmpSatisfaction]]=1,"Very Dissatisfied", IF(Table1[[#This Row],[EmpSatisfaction]] = 2, "Dissatisfied", IF(Table1[[#This Row],[EmpSatisfaction]]  = 3, "Neutral", IF(Table1[[#This Row],[EmpSatisfaction]] = 4, "Satisfied", IF(Table1[[#This Row],[EmpSatisfaction]]=5,"Very Satisfied", " ")))))</f>
        <v>Satisfied</v>
      </c>
      <c r="AE48">
        <f>YEAR(Table1[[#This Row],[DateofHire]])</f>
        <v>2011</v>
      </c>
      <c r="AF48" t="s">
        <v>535</v>
      </c>
    </row>
    <row r="49" spans="1:32" x14ac:dyDescent="0.3">
      <c r="A49" t="s">
        <v>130</v>
      </c>
      <c r="B49">
        <v>10168</v>
      </c>
      <c r="C49" t="s">
        <v>474</v>
      </c>
      <c r="D49" t="s">
        <v>489</v>
      </c>
      <c r="E49">
        <v>10062</v>
      </c>
      <c r="F49" s="1">
        <v>40819</v>
      </c>
      <c r="G49" s="7">
        <v>64816</v>
      </c>
      <c r="H49" t="s">
        <v>499</v>
      </c>
      <c r="I49" s="1">
        <v>32294</v>
      </c>
      <c r="J49" t="s">
        <v>22</v>
      </c>
      <c r="K49" t="s">
        <v>131</v>
      </c>
      <c r="L49" t="s">
        <v>57</v>
      </c>
      <c r="M49" t="s">
        <v>21</v>
      </c>
      <c r="N49">
        <v>2044</v>
      </c>
      <c r="P49" t="s">
        <v>512</v>
      </c>
      <c r="Q49" t="s">
        <v>25</v>
      </c>
      <c r="R49" t="s">
        <v>35</v>
      </c>
      <c r="S49" t="s">
        <v>36</v>
      </c>
      <c r="T49">
        <v>3.58</v>
      </c>
      <c r="U49">
        <v>5</v>
      </c>
      <c r="V49" s="1">
        <v>43495</v>
      </c>
      <c r="W49">
        <v>3</v>
      </c>
      <c r="X49" t="str">
        <f>INDEX(Position!B:B,MATCH(Table1[[#This Row],[Position ID]],Position!A:A, 0 ))</f>
        <v>Production Technician I</v>
      </c>
      <c r="Y49" t="str">
        <f>INDEX(Department!B:B,MATCH(Table1[[#This Row],[Department ID]],Department!A:A,0))</f>
        <v>Production</v>
      </c>
      <c r="Z49" t="str">
        <f>INDEX(Manager!B:B,MATCH(Table1[[#This Row],[Manger ID]],Manager!A:A,0))</f>
        <v>Ketsia Liebig</v>
      </c>
      <c r="AA49">
        <f ca="1">DATEDIF(Table1[[#This Row],[DOB]],TODAY(), "Y")</f>
        <v>35</v>
      </c>
      <c r="AB49" t="str">
        <f ca="1">IF(Table1[[#This Row],[ Age]]&lt;18,"Less than 18",IF(Table1[[#This Row],[ Age]]&lt;=29,"18-29",IF(Table1[[#This Row],[ Age]]&lt;=49,"30-49",IF(Table1[[#This Row],[ Age]]&lt;=59,"50-59","60 or more"))))</f>
        <v>30-49</v>
      </c>
      <c r="AC49" s="8">
        <f ca="1">IF(ISBLANK(Table1[[#This Row],[DateofTermination]]),DATEDIF(Table1[[#This Row],[DateofHire]],TODAY(), "M"),DATEDIF(Table1[[#This Row],[DateofHire]],Table1[[#This Row],[DateofTermination]],"M"))/12</f>
        <v>12.5</v>
      </c>
      <c r="AD49" t="str">
        <f>IF(Table1[[#This Row],[EmpSatisfaction]]=1,"Very Dissatisfied", IF(Table1[[#This Row],[EmpSatisfaction]] = 2, "Dissatisfied", IF(Table1[[#This Row],[EmpSatisfaction]]  = 3, "Neutral", IF(Table1[[#This Row],[EmpSatisfaction]] = 4, "Satisfied", IF(Table1[[#This Row],[EmpSatisfaction]]=5,"Very Satisfied", " ")))))</f>
        <v>Very Satisfied</v>
      </c>
      <c r="AE49">
        <f>YEAR(Table1[[#This Row],[DateofHire]])</f>
        <v>2011</v>
      </c>
      <c r="AF49" t="s">
        <v>25</v>
      </c>
    </row>
    <row r="50" spans="1:32" x14ac:dyDescent="0.3">
      <c r="A50" t="s">
        <v>132</v>
      </c>
      <c r="B50">
        <v>10220</v>
      </c>
      <c r="C50" t="s">
        <v>469</v>
      </c>
      <c r="D50" t="s">
        <v>488</v>
      </c>
      <c r="E50">
        <v>10220</v>
      </c>
      <c r="F50" s="1">
        <v>41157</v>
      </c>
      <c r="G50" s="7">
        <v>68678</v>
      </c>
      <c r="H50" t="s">
        <v>498</v>
      </c>
      <c r="I50" s="1">
        <v>31295</v>
      </c>
      <c r="J50" t="s">
        <v>22</v>
      </c>
      <c r="K50" t="s">
        <v>23</v>
      </c>
      <c r="L50" t="s">
        <v>24</v>
      </c>
      <c r="M50" t="s">
        <v>21</v>
      </c>
      <c r="N50">
        <v>2170</v>
      </c>
      <c r="P50" t="s">
        <v>512</v>
      </c>
      <c r="Q50" t="s">
        <v>25</v>
      </c>
      <c r="R50" t="s">
        <v>35</v>
      </c>
      <c r="S50" t="s">
        <v>36</v>
      </c>
      <c r="T50">
        <v>4.7</v>
      </c>
      <c r="U50">
        <v>3</v>
      </c>
      <c r="V50" s="1">
        <v>43523</v>
      </c>
      <c r="W50">
        <v>2</v>
      </c>
      <c r="X50" t="str">
        <f>INDEX(Position!B:B,MATCH(Table1[[#This Row],[Position ID]],Position!A:A, 0 ))</f>
        <v>IT Support</v>
      </c>
      <c r="Y50" t="str">
        <f>INDEX(Department!B:B,MATCH(Table1[[#This Row],[Department ID]],Department!A:A,0))</f>
        <v>IT/IS</v>
      </c>
      <c r="Z50" t="str">
        <f>INDEX(Manager!B:B,MATCH(Table1[[#This Row],[Manger ID]],Manager!A:A,0))</f>
        <v>Eric Dougall</v>
      </c>
      <c r="AA50">
        <f ca="1">DATEDIF(Table1[[#This Row],[DOB]],TODAY(), "Y")</f>
        <v>38</v>
      </c>
      <c r="AB50" t="str">
        <f ca="1">IF(Table1[[#This Row],[ Age]]&lt;18,"Less than 18",IF(Table1[[#This Row],[ Age]]&lt;=29,"18-29",IF(Table1[[#This Row],[ Age]]&lt;=49,"30-49",IF(Table1[[#This Row],[ Age]]&lt;=59,"50-59","60 or more"))))</f>
        <v>30-49</v>
      </c>
      <c r="AC50" s="8">
        <f ca="1">IF(ISBLANK(Table1[[#This Row],[DateofTermination]]),DATEDIF(Table1[[#This Row],[DateofHire]],TODAY(), "M"),DATEDIF(Table1[[#This Row],[DateofHire]],Table1[[#This Row],[DateofTermination]],"M"))/12</f>
        <v>11.583333333333334</v>
      </c>
      <c r="AD50" t="str">
        <f>IF(Table1[[#This Row],[EmpSatisfaction]]=1,"Very Dissatisfied", IF(Table1[[#This Row],[EmpSatisfaction]] = 2, "Dissatisfied", IF(Table1[[#This Row],[EmpSatisfaction]]  = 3, "Neutral", IF(Table1[[#This Row],[EmpSatisfaction]] = 4, "Satisfied", IF(Table1[[#This Row],[EmpSatisfaction]]=5,"Very Satisfied", " ")))))</f>
        <v>Neutral</v>
      </c>
      <c r="AE50">
        <f>YEAR(Table1[[#This Row],[DateofHire]])</f>
        <v>2012</v>
      </c>
      <c r="AF50" t="s">
        <v>25</v>
      </c>
    </row>
    <row r="51" spans="1:32" hidden="1" x14ac:dyDescent="0.3">
      <c r="A51" t="s">
        <v>134</v>
      </c>
      <c r="B51">
        <v>10275</v>
      </c>
      <c r="C51" t="s">
        <v>475</v>
      </c>
      <c r="D51" t="s">
        <v>489</v>
      </c>
      <c r="E51">
        <v>10114</v>
      </c>
      <c r="F51" s="1">
        <v>40679</v>
      </c>
      <c r="G51" s="7">
        <v>64066</v>
      </c>
      <c r="H51" t="s">
        <v>499</v>
      </c>
      <c r="I51" s="1">
        <v>29829</v>
      </c>
      <c r="J51" t="s">
        <v>31</v>
      </c>
      <c r="K51" t="s">
        <v>23</v>
      </c>
      <c r="L51" t="s">
        <v>24</v>
      </c>
      <c r="M51" t="s">
        <v>21</v>
      </c>
      <c r="N51">
        <v>1752</v>
      </c>
      <c r="O51" s="1">
        <v>41281</v>
      </c>
      <c r="P51" t="s">
        <v>517</v>
      </c>
      <c r="Q51" t="s">
        <v>32</v>
      </c>
      <c r="R51" t="s">
        <v>45</v>
      </c>
      <c r="S51" t="s">
        <v>36</v>
      </c>
      <c r="T51">
        <v>4.2</v>
      </c>
      <c r="U51">
        <v>5</v>
      </c>
      <c r="V51" s="1">
        <v>41032</v>
      </c>
      <c r="W51">
        <v>9</v>
      </c>
      <c r="X51" t="str">
        <f>INDEX(Position!B:B,MATCH(Table1[[#This Row],[Position ID]],Position!A:A, 0 ))</f>
        <v>Production Technician II</v>
      </c>
      <c r="Y51" t="str">
        <f>INDEX(Department!B:B,MATCH(Table1[[#This Row],[Department ID]],Department!A:A,0))</f>
        <v>Production</v>
      </c>
      <c r="Z51" t="str">
        <f>INDEX(Manager!B:B,MATCH(Table1[[#This Row],[Manger ID]],Manager!A:A,0))</f>
        <v>Brannon Miller</v>
      </c>
      <c r="AA51">
        <f ca="1">DATEDIF(Table1[[#This Row],[DOB]],TODAY(), "Y")</f>
        <v>42</v>
      </c>
      <c r="AB51" t="str">
        <f ca="1">IF(Table1[[#This Row],[ Age]]&lt;18,"Less than 18",IF(Table1[[#This Row],[ Age]]&lt;=29,"18-29",IF(Table1[[#This Row],[ Age]]&lt;=49,"30-49",IF(Table1[[#This Row],[ Age]]&lt;=59,"50-59","60 or more"))))</f>
        <v>30-49</v>
      </c>
      <c r="AC51" s="8">
        <f ca="1">IF(ISBLANK(Table1[[#This Row],[DateofTermination]]),DATEDIF(Table1[[#This Row],[DateofHire]],TODAY(), "M"),DATEDIF(Table1[[#This Row],[DateofHire]],Table1[[#This Row],[DateofTermination]],"M"))/12</f>
        <v>1.5833333333333333</v>
      </c>
      <c r="AD51" t="str">
        <f>IF(Table1[[#This Row],[EmpSatisfaction]]=1,"Very Dissatisfied", IF(Table1[[#This Row],[EmpSatisfaction]] = 2, "Dissatisfied", IF(Table1[[#This Row],[EmpSatisfaction]]  = 3, "Neutral", IF(Table1[[#This Row],[EmpSatisfaction]] = 4, "Satisfied", IF(Table1[[#This Row],[EmpSatisfaction]]=5,"Very Satisfied", " ")))))</f>
        <v>Very Satisfied</v>
      </c>
      <c r="AE51">
        <f>YEAR(Table1[[#This Row],[DateofHire]])</f>
        <v>2011</v>
      </c>
      <c r="AF51" t="s">
        <v>535</v>
      </c>
    </row>
    <row r="52" spans="1:32" hidden="1" x14ac:dyDescent="0.3">
      <c r="A52" t="s">
        <v>135</v>
      </c>
      <c r="B52">
        <v>10269</v>
      </c>
      <c r="C52" t="s">
        <v>475</v>
      </c>
      <c r="D52" t="s">
        <v>489</v>
      </c>
      <c r="E52">
        <v>10252</v>
      </c>
      <c r="F52" s="1">
        <v>40420</v>
      </c>
      <c r="G52" s="7">
        <v>59369</v>
      </c>
      <c r="H52" t="s">
        <v>498</v>
      </c>
      <c r="I52" s="1">
        <v>28819</v>
      </c>
      <c r="J52" t="s">
        <v>31</v>
      </c>
      <c r="K52" t="s">
        <v>23</v>
      </c>
      <c r="L52" t="s">
        <v>24</v>
      </c>
      <c r="M52" t="s">
        <v>21</v>
      </c>
      <c r="N52">
        <v>2169</v>
      </c>
      <c r="O52" s="1">
        <v>40812</v>
      </c>
      <c r="P52" t="s">
        <v>513</v>
      </c>
      <c r="Q52" t="s">
        <v>32</v>
      </c>
      <c r="R52" t="s">
        <v>35</v>
      </c>
      <c r="S52" t="s">
        <v>36</v>
      </c>
      <c r="T52">
        <v>4.2</v>
      </c>
      <c r="U52">
        <v>4</v>
      </c>
      <c r="V52" s="1">
        <v>40667</v>
      </c>
      <c r="W52">
        <v>6</v>
      </c>
      <c r="X52" t="str">
        <f>INDEX(Position!B:B,MATCH(Table1[[#This Row],[Position ID]],Position!A:A, 0 ))</f>
        <v>Production Technician II</v>
      </c>
      <c r="Y52" t="str">
        <f>INDEX(Department!B:B,MATCH(Table1[[#This Row],[Department ID]],Department!A:A,0))</f>
        <v>Production</v>
      </c>
      <c r="Z52" t="str">
        <f>INDEX(Manager!B:B,MATCH(Table1[[#This Row],[Manger ID]],Manager!A:A,0))</f>
        <v>David Stanley</v>
      </c>
      <c r="AA52">
        <f ca="1">DATEDIF(Table1[[#This Row],[DOB]],TODAY(), "Y")</f>
        <v>45</v>
      </c>
      <c r="AB52" t="str">
        <f ca="1">IF(Table1[[#This Row],[ Age]]&lt;18,"Less than 18",IF(Table1[[#This Row],[ Age]]&lt;=29,"18-29",IF(Table1[[#This Row],[ Age]]&lt;=49,"30-49",IF(Table1[[#This Row],[ Age]]&lt;=59,"50-59","60 or more"))))</f>
        <v>30-49</v>
      </c>
      <c r="AC52" s="8">
        <f ca="1">IF(ISBLANK(Table1[[#This Row],[DateofTermination]]),DATEDIF(Table1[[#This Row],[DateofHire]],TODAY(), "M"),DATEDIF(Table1[[#This Row],[DateofHire]],Table1[[#This Row],[DateofTermination]],"M"))/12</f>
        <v>1</v>
      </c>
      <c r="AD52" t="str">
        <f>IF(Table1[[#This Row],[EmpSatisfaction]]=1,"Very Dissatisfied", IF(Table1[[#This Row],[EmpSatisfaction]] = 2, "Dissatisfied", IF(Table1[[#This Row],[EmpSatisfaction]]  = 3, "Neutral", IF(Table1[[#This Row],[EmpSatisfaction]] = 4, "Satisfied", IF(Table1[[#This Row],[EmpSatisfaction]]=5,"Very Satisfied", " ")))))</f>
        <v>Satisfied</v>
      </c>
      <c r="AE52">
        <f>YEAR(Table1[[#This Row],[DateofHire]])</f>
        <v>2010</v>
      </c>
      <c r="AF52" t="s">
        <v>535</v>
      </c>
    </row>
    <row r="53" spans="1:32" x14ac:dyDescent="0.3">
      <c r="A53" t="s">
        <v>136</v>
      </c>
      <c r="B53">
        <v>10029</v>
      </c>
      <c r="C53" t="s">
        <v>474</v>
      </c>
      <c r="D53" t="s">
        <v>489</v>
      </c>
      <c r="E53">
        <v>10114</v>
      </c>
      <c r="F53" s="1">
        <v>42557</v>
      </c>
      <c r="G53" s="7">
        <v>50373</v>
      </c>
      <c r="H53" t="s">
        <v>498</v>
      </c>
      <c r="I53" s="1">
        <v>29459</v>
      </c>
      <c r="J53" t="s">
        <v>31</v>
      </c>
      <c r="K53" t="s">
        <v>23</v>
      </c>
      <c r="L53" t="s">
        <v>24</v>
      </c>
      <c r="M53" t="s">
        <v>21</v>
      </c>
      <c r="N53">
        <v>2134</v>
      </c>
      <c r="P53" t="s">
        <v>512</v>
      </c>
      <c r="Q53" t="s">
        <v>25</v>
      </c>
      <c r="R53" t="s">
        <v>55</v>
      </c>
      <c r="S53" t="s">
        <v>28</v>
      </c>
      <c r="T53">
        <v>4.0999999999999996</v>
      </c>
      <c r="U53">
        <v>4</v>
      </c>
      <c r="V53" s="1">
        <v>43524</v>
      </c>
      <c r="W53">
        <v>5</v>
      </c>
      <c r="X53" t="str">
        <f>INDEX(Position!B:B,MATCH(Table1[[#This Row],[Position ID]],Position!A:A, 0 ))</f>
        <v>Production Technician I</v>
      </c>
      <c r="Y53" t="str">
        <f>INDEX(Department!B:B,MATCH(Table1[[#This Row],[Department ID]],Department!A:A,0))</f>
        <v>Production</v>
      </c>
      <c r="Z53" t="str">
        <f>INDEX(Manager!B:B,MATCH(Table1[[#This Row],[Manger ID]],Manager!A:A,0))</f>
        <v>Brannon Miller</v>
      </c>
      <c r="AA53">
        <f ca="1">DATEDIF(Table1[[#This Row],[DOB]],TODAY(), "Y")</f>
        <v>43</v>
      </c>
      <c r="AB53" t="str">
        <f ca="1">IF(Table1[[#This Row],[ Age]]&lt;18,"Less than 18",IF(Table1[[#This Row],[ Age]]&lt;=29,"18-29",IF(Table1[[#This Row],[ Age]]&lt;=49,"30-49",IF(Table1[[#This Row],[ Age]]&lt;=59,"50-59","60 or more"))))</f>
        <v>30-49</v>
      </c>
      <c r="AC53" s="8">
        <f ca="1">IF(ISBLANK(Table1[[#This Row],[DateofTermination]]),DATEDIF(Table1[[#This Row],[DateofHire]],TODAY(), "M"),DATEDIF(Table1[[#This Row],[DateofHire]],Table1[[#This Row],[DateofTermination]],"M"))/12</f>
        <v>7.75</v>
      </c>
      <c r="AD53" t="str">
        <f>IF(Table1[[#This Row],[EmpSatisfaction]]=1,"Very Dissatisfied", IF(Table1[[#This Row],[EmpSatisfaction]] = 2, "Dissatisfied", IF(Table1[[#This Row],[EmpSatisfaction]]  = 3, "Neutral", IF(Table1[[#This Row],[EmpSatisfaction]] = 4, "Satisfied", IF(Table1[[#This Row],[EmpSatisfaction]]=5,"Very Satisfied", " ")))))</f>
        <v>Satisfied</v>
      </c>
      <c r="AE53">
        <f>YEAR(Table1[[#This Row],[DateofHire]])</f>
        <v>2016</v>
      </c>
      <c r="AF53" t="s">
        <v>25</v>
      </c>
    </row>
    <row r="54" spans="1:32" x14ac:dyDescent="0.3">
      <c r="A54" t="s">
        <v>137</v>
      </c>
      <c r="B54">
        <v>10261</v>
      </c>
      <c r="C54" t="s">
        <v>474</v>
      </c>
      <c r="D54" t="s">
        <v>489</v>
      </c>
      <c r="E54">
        <v>10252</v>
      </c>
      <c r="F54" s="1">
        <v>41463</v>
      </c>
      <c r="G54" s="7">
        <v>63108</v>
      </c>
      <c r="H54" t="s">
        <v>498</v>
      </c>
      <c r="I54" s="1">
        <v>28376</v>
      </c>
      <c r="J54" t="s">
        <v>22</v>
      </c>
      <c r="K54" t="s">
        <v>23</v>
      </c>
      <c r="L54" t="s">
        <v>24</v>
      </c>
      <c r="M54" t="s">
        <v>21</v>
      </c>
      <c r="N54">
        <v>2452</v>
      </c>
      <c r="P54" t="s">
        <v>512</v>
      </c>
      <c r="Q54" t="s">
        <v>25</v>
      </c>
      <c r="R54" t="s">
        <v>55</v>
      </c>
      <c r="S54" t="s">
        <v>36</v>
      </c>
      <c r="T54">
        <v>4.4000000000000004</v>
      </c>
      <c r="U54">
        <v>5</v>
      </c>
      <c r="V54" s="1">
        <v>43479</v>
      </c>
      <c r="W54">
        <v>3</v>
      </c>
      <c r="X54" t="str">
        <f>INDEX(Position!B:B,MATCH(Table1[[#This Row],[Position ID]],Position!A:A, 0 ))</f>
        <v>Production Technician I</v>
      </c>
      <c r="Y54" t="str">
        <f>INDEX(Department!B:B,MATCH(Table1[[#This Row],[Department ID]],Department!A:A,0))</f>
        <v>Production</v>
      </c>
      <c r="Z54" t="str">
        <f>INDEX(Manager!B:B,MATCH(Table1[[#This Row],[Manger ID]],Manager!A:A,0))</f>
        <v>David Stanley</v>
      </c>
      <c r="AA54">
        <f ca="1">DATEDIF(Table1[[#This Row],[DOB]],TODAY(), "Y")</f>
        <v>46</v>
      </c>
      <c r="AB54" t="str">
        <f ca="1">IF(Table1[[#This Row],[ Age]]&lt;18,"Less than 18",IF(Table1[[#This Row],[ Age]]&lt;=29,"18-29",IF(Table1[[#This Row],[ Age]]&lt;=49,"30-49",IF(Table1[[#This Row],[ Age]]&lt;=59,"50-59","60 or more"))))</f>
        <v>30-49</v>
      </c>
      <c r="AC54" s="8">
        <f ca="1">IF(ISBLANK(Table1[[#This Row],[DateofTermination]]),DATEDIF(Table1[[#This Row],[DateofHire]],TODAY(), "M"),DATEDIF(Table1[[#This Row],[DateofHire]],Table1[[#This Row],[DateofTermination]],"M"))/12</f>
        <v>10.75</v>
      </c>
      <c r="AD54" t="str">
        <f>IF(Table1[[#This Row],[EmpSatisfaction]]=1,"Very Dissatisfied", IF(Table1[[#This Row],[EmpSatisfaction]] = 2, "Dissatisfied", IF(Table1[[#This Row],[EmpSatisfaction]]  = 3, "Neutral", IF(Table1[[#This Row],[EmpSatisfaction]] = 4, "Satisfied", IF(Table1[[#This Row],[EmpSatisfaction]]=5,"Very Satisfied", " ")))))</f>
        <v>Very Satisfied</v>
      </c>
      <c r="AE54">
        <f>YEAR(Table1[[#This Row],[DateofHire]])</f>
        <v>2013</v>
      </c>
      <c r="AF54" t="s">
        <v>25</v>
      </c>
    </row>
    <row r="55" spans="1:32" hidden="1" x14ac:dyDescent="0.3">
      <c r="A55" t="s">
        <v>138</v>
      </c>
      <c r="B55">
        <v>10292</v>
      </c>
      <c r="C55" t="s">
        <v>474</v>
      </c>
      <c r="D55" t="s">
        <v>489</v>
      </c>
      <c r="E55">
        <v>10196</v>
      </c>
      <c r="F55" s="1">
        <v>40735</v>
      </c>
      <c r="G55" s="7">
        <v>59144</v>
      </c>
      <c r="H55" t="s">
        <v>498</v>
      </c>
      <c r="I55" s="1">
        <v>29079</v>
      </c>
      <c r="J55" t="s">
        <v>22</v>
      </c>
      <c r="K55" t="s">
        <v>23</v>
      </c>
      <c r="L55" t="s">
        <v>57</v>
      </c>
      <c r="M55" t="s">
        <v>21</v>
      </c>
      <c r="N55">
        <v>1880</v>
      </c>
      <c r="O55" s="1">
        <v>42636</v>
      </c>
      <c r="P55" t="s">
        <v>519</v>
      </c>
      <c r="Q55" t="s">
        <v>75</v>
      </c>
      <c r="R55" t="s">
        <v>27</v>
      </c>
      <c r="S55" t="s">
        <v>88</v>
      </c>
      <c r="T55">
        <v>2</v>
      </c>
      <c r="U55">
        <v>3</v>
      </c>
      <c r="V55" s="1">
        <v>42491</v>
      </c>
      <c r="W55">
        <v>16</v>
      </c>
      <c r="X55" t="str">
        <f>INDEX(Position!B:B,MATCH(Table1[[#This Row],[Position ID]],Position!A:A, 0 ))</f>
        <v>Production Technician I</v>
      </c>
      <c r="Y55" t="str">
        <f>INDEX(Department!B:B,MATCH(Table1[[#This Row],[Department ID]],Department!A:A,0))</f>
        <v>Production</v>
      </c>
      <c r="Z55" t="str">
        <f>INDEX(Manager!B:B,MATCH(Table1[[#This Row],[Manger ID]],Manager!A:A,0))</f>
        <v>Kissy Sullivan</v>
      </c>
      <c r="AA55">
        <f ca="1">DATEDIF(Table1[[#This Row],[DOB]],TODAY(), "Y")</f>
        <v>44</v>
      </c>
      <c r="AB55" t="str">
        <f ca="1">IF(Table1[[#This Row],[ Age]]&lt;18,"Less than 18",IF(Table1[[#This Row],[ Age]]&lt;=29,"18-29",IF(Table1[[#This Row],[ Age]]&lt;=49,"30-49",IF(Table1[[#This Row],[ Age]]&lt;=59,"50-59","60 or more"))))</f>
        <v>30-49</v>
      </c>
      <c r="AC55" s="8">
        <f ca="1">IF(ISBLANK(Table1[[#This Row],[DateofTermination]]),DATEDIF(Table1[[#This Row],[DateofHire]],TODAY(), "M"),DATEDIF(Table1[[#This Row],[DateofHire]],Table1[[#This Row],[DateofTermination]],"M"))/12</f>
        <v>5.166666666666667</v>
      </c>
      <c r="AD55" t="str">
        <f>IF(Table1[[#This Row],[EmpSatisfaction]]=1,"Very Dissatisfied", IF(Table1[[#This Row],[EmpSatisfaction]] = 2, "Dissatisfied", IF(Table1[[#This Row],[EmpSatisfaction]]  = 3, "Neutral", IF(Table1[[#This Row],[EmpSatisfaction]] = 4, "Satisfied", IF(Table1[[#This Row],[EmpSatisfaction]]=5,"Very Satisfied", " ")))))</f>
        <v>Neutral</v>
      </c>
      <c r="AE55">
        <f>YEAR(Table1[[#This Row],[DateofHire]])</f>
        <v>2011</v>
      </c>
      <c r="AF55" t="s">
        <v>535</v>
      </c>
    </row>
    <row r="56" spans="1:32" x14ac:dyDescent="0.3">
      <c r="A56" t="s">
        <v>139</v>
      </c>
      <c r="B56">
        <v>10282</v>
      </c>
      <c r="C56" t="s">
        <v>473</v>
      </c>
      <c r="D56" t="s">
        <v>489</v>
      </c>
      <c r="E56">
        <v>10175</v>
      </c>
      <c r="F56" s="1">
        <v>40379</v>
      </c>
      <c r="G56" s="7">
        <v>68051</v>
      </c>
      <c r="H56" t="s">
        <v>498</v>
      </c>
      <c r="I56" s="1">
        <v>27745</v>
      </c>
      <c r="J56" t="s">
        <v>43</v>
      </c>
      <c r="K56" t="s">
        <v>23</v>
      </c>
      <c r="L56" t="s">
        <v>24</v>
      </c>
      <c r="M56" t="s">
        <v>21</v>
      </c>
      <c r="N56">
        <v>1803</v>
      </c>
      <c r="P56" t="s">
        <v>512</v>
      </c>
      <c r="Q56" t="s">
        <v>25</v>
      </c>
      <c r="R56" t="s">
        <v>87</v>
      </c>
      <c r="S56" t="s">
        <v>88</v>
      </c>
      <c r="T56">
        <v>4.13</v>
      </c>
      <c r="U56">
        <v>2</v>
      </c>
      <c r="V56" s="1">
        <v>43479</v>
      </c>
      <c r="W56">
        <v>3</v>
      </c>
      <c r="X56" t="str">
        <f>INDEX(Position!B:B,MATCH(Table1[[#This Row],[Position ID]],Position!A:A, 0 ))</f>
        <v>Production Manager</v>
      </c>
      <c r="Y56" t="str">
        <f>INDEX(Department!B:B,MATCH(Table1[[#This Row],[Department ID]],Department!A:A,0))</f>
        <v>Production</v>
      </c>
      <c r="Z56" t="str">
        <f>INDEX(Manager!B:B,MATCH(Table1[[#This Row],[Manger ID]],Manager!A:A,0))</f>
        <v>Janet King</v>
      </c>
      <c r="AA56">
        <f ca="1">DATEDIF(Table1[[#This Row],[DOB]],TODAY(), "Y")</f>
        <v>48</v>
      </c>
      <c r="AB56" t="str">
        <f ca="1">IF(Table1[[#This Row],[ Age]]&lt;18,"Less than 18",IF(Table1[[#This Row],[ Age]]&lt;=29,"18-29",IF(Table1[[#This Row],[ Age]]&lt;=49,"30-49",IF(Table1[[#This Row],[ Age]]&lt;=59,"50-59","60 or more"))))</f>
        <v>30-49</v>
      </c>
      <c r="AC56" s="8">
        <f ca="1">IF(ISBLANK(Table1[[#This Row],[DateofTermination]]),DATEDIF(Table1[[#This Row],[DateofHire]],TODAY(), "M"),DATEDIF(Table1[[#This Row],[DateofHire]],Table1[[#This Row],[DateofTermination]],"M"))/12</f>
        <v>13.666666666666666</v>
      </c>
      <c r="AD56" t="str">
        <f>IF(Table1[[#This Row],[EmpSatisfaction]]=1,"Very Dissatisfied", IF(Table1[[#This Row],[EmpSatisfaction]] = 2, "Dissatisfied", IF(Table1[[#This Row],[EmpSatisfaction]]  = 3, "Neutral", IF(Table1[[#This Row],[EmpSatisfaction]] = 4, "Satisfied", IF(Table1[[#This Row],[EmpSatisfaction]]=5,"Very Satisfied", " ")))))</f>
        <v>Dissatisfied</v>
      </c>
      <c r="AE56">
        <f>YEAR(Table1[[#This Row],[DateofHire]])</f>
        <v>2010</v>
      </c>
      <c r="AF56" t="s">
        <v>25</v>
      </c>
    </row>
    <row r="57" spans="1:32" x14ac:dyDescent="0.3">
      <c r="A57" t="s">
        <v>140</v>
      </c>
      <c r="B57">
        <v>10019</v>
      </c>
      <c r="C57" t="s">
        <v>462</v>
      </c>
      <c r="D57" t="s">
        <v>489</v>
      </c>
      <c r="E57">
        <v>10175</v>
      </c>
      <c r="F57" s="1">
        <v>39818</v>
      </c>
      <c r="G57" s="7">
        <v>170500</v>
      </c>
      <c r="H57" t="s">
        <v>498</v>
      </c>
      <c r="I57" s="1">
        <v>30394</v>
      </c>
      <c r="J57" t="s">
        <v>22</v>
      </c>
      <c r="K57" t="s">
        <v>23</v>
      </c>
      <c r="L57" t="s">
        <v>57</v>
      </c>
      <c r="M57" t="s">
        <v>21</v>
      </c>
      <c r="N57">
        <v>2030</v>
      </c>
      <c r="P57" t="s">
        <v>512</v>
      </c>
      <c r="Q57" t="s">
        <v>25</v>
      </c>
      <c r="R57" t="s">
        <v>35</v>
      </c>
      <c r="S57" t="s">
        <v>28</v>
      </c>
      <c r="T57">
        <v>3.7</v>
      </c>
      <c r="U57">
        <v>5</v>
      </c>
      <c r="V57" s="1">
        <v>43500</v>
      </c>
      <c r="W57">
        <v>15</v>
      </c>
      <c r="X57" t="str">
        <f>INDEX(Position!B:B,MATCH(Table1[[#This Row],[Position ID]],Position!A:A, 0 ))</f>
        <v>Director of Operations</v>
      </c>
      <c r="Y57" t="str">
        <f>INDEX(Department!B:B,MATCH(Table1[[#This Row],[Department ID]],Department!A:A,0))</f>
        <v>Production</v>
      </c>
      <c r="Z57" t="str">
        <f>INDEX(Manager!B:B,MATCH(Table1[[#This Row],[Manger ID]],Manager!A:A,0))</f>
        <v>Janet King</v>
      </c>
      <c r="AA57">
        <f ca="1">DATEDIF(Table1[[#This Row],[DOB]],TODAY(), "Y")</f>
        <v>41</v>
      </c>
      <c r="AB57" t="str">
        <f ca="1">IF(Table1[[#This Row],[ Age]]&lt;18,"Less than 18",IF(Table1[[#This Row],[ Age]]&lt;=29,"18-29",IF(Table1[[#This Row],[ Age]]&lt;=49,"30-49",IF(Table1[[#This Row],[ Age]]&lt;=59,"50-59","60 or more"))))</f>
        <v>30-49</v>
      </c>
      <c r="AC57" s="8">
        <f ca="1">IF(ISBLANK(Table1[[#This Row],[DateofTermination]]),DATEDIF(Table1[[#This Row],[DateofHire]],TODAY(), "M"),DATEDIF(Table1[[#This Row],[DateofHire]],Table1[[#This Row],[DateofTermination]],"M"))/12</f>
        <v>15.25</v>
      </c>
      <c r="AD57" t="str">
        <f>IF(Table1[[#This Row],[EmpSatisfaction]]=1,"Very Dissatisfied", IF(Table1[[#This Row],[EmpSatisfaction]] = 2, "Dissatisfied", IF(Table1[[#This Row],[EmpSatisfaction]]  = 3, "Neutral", IF(Table1[[#This Row],[EmpSatisfaction]] = 4, "Satisfied", IF(Table1[[#This Row],[EmpSatisfaction]]=5,"Very Satisfied", " ")))))</f>
        <v>Very Satisfied</v>
      </c>
      <c r="AE57">
        <f>YEAR(Table1[[#This Row],[DateofHire]])</f>
        <v>2009</v>
      </c>
      <c r="AF57" t="s">
        <v>25</v>
      </c>
    </row>
    <row r="58" spans="1:32" x14ac:dyDescent="0.3">
      <c r="A58" t="s">
        <v>142</v>
      </c>
      <c r="B58">
        <v>10094</v>
      </c>
      <c r="C58" t="s">
        <v>474</v>
      </c>
      <c r="D58" t="s">
        <v>489</v>
      </c>
      <c r="E58">
        <v>10265</v>
      </c>
      <c r="F58" s="1">
        <v>42009</v>
      </c>
      <c r="G58" s="7">
        <v>63381</v>
      </c>
      <c r="H58" t="s">
        <v>499</v>
      </c>
      <c r="I58" s="1">
        <v>28215</v>
      </c>
      <c r="J58" t="s">
        <v>31</v>
      </c>
      <c r="K58" t="s">
        <v>23</v>
      </c>
      <c r="L58" t="s">
        <v>24</v>
      </c>
      <c r="M58" t="s">
        <v>21</v>
      </c>
      <c r="N58">
        <v>2189</v>
      </c>
      <c r="P58" t="s">
        <v>512</v>
      </c>
      <c r="Q58" t="s">
        <v>25</v>
      </c>
      <c r="R58" t="s">
        <v>35</v>
      </c>
      <c r="S58" t="s">
        <v>36</v>
      </c>
      <c r="T58">
        <v>4.7300000000000004</v>
      </c>
      <c r="U58">
        <v>5</v>
      </c>
      <c r="V58" s="1">
        <v>43510</v>
      </c>
      <c r="W58">
        <v>6</v>
      </c>
      <c r="X58" t="str">
        <f>INDEX(Position!B:B,MATCH(Table1[[#This Row],[Position ID]],Position!A:A, 0 ))</f>
        <v>Production Technician I</v>
      </c>
      <c r="Y58" t="str">
        <f>INDEX(Department!B:B,MATCH(Table1[[#This Row],[Department ID]],Department!A:A,0))</f>
        <v>Production</v>
      </c>
      <c r="Z58" t="str">
        <f>INDEX(Manager!B:B,MATCH(Table1[[#This Row],[Manger ID]],Manager!A:A,0))</f>
        <v>Kelley Spirea</v>
      </c>
      <c r="AA58">
        <f ca="1">DATEDIF(Table1[[#This Row],[DOB]],TODAY(), "Y")</f>
        <v>47</v>
      </c>
      <c r="AB58" t="str">
        <f ca="1">IF(Table1[[#This Row],[ Age]]&lt;18,"Less than 18",IF(Table1[[#This Row],[ Age]]&lt;=29,"18-29",IF(Table1[[#This Row],[ Age]]&lt;=49,"30-49",IF(Table1[[#This Row],[ Age]]&lt;=59,"50-59","60 or more"))))</f>
        <v>30-49</v>
      </c>
      <c r="AC58" s="8">
        <f ca="1">IF(ISBLANK(Table1[[#This Row],[DateofTermination]]),DATEDIF(Table1[[#This Row],[DateofHire]],TODAY(), "M"),DATEDIF(Table1[[#This Row],[DateofHire]],Table1[[#This Row],[DateofTermination]],"M"))/12</f>
        <v>9.25</v>
      </c>
      <c r="AD58" t="str">
        <f>IF(Table1[[#This Row],[EmpSatisfaction]]=1,"Very Dissatisfied", IF(Table1[[#This Row],[EmpSatisfaction]] = 2, "Dissatisfied", IF(Table1[[#This Row],[EmpSatisfaction]]  = 3, "Neutral", IF(Table1[[#This Row],[EmpSatisfaction]] = 4, "Satisfied", IF(Table1[[#This Row],[EmpSatisfaction]]=5,"Very Satisfied", " ")))))</f>
        <v>Very Satisfied</v>
      </c>
      <c r="AE58">
        <f>YEAR(Table1[[#This Row],[DateofHire]])</f>
        <v>2015</v>
      </c>
      <c r="AF58" t="s">
        <v>25</v>
      </c>
    </row>
    <row r="59" spans="1:32" x14ac:dyDescent="0.3">
      <c r="A59" t="s">
        <v>143</v>
      </c>
      <c r="B59">
        <v>10193</v>
      </c>
      <c r="C59" t="s">
        <v>458</v>
      </c>
      <c r="D59" t="s">
        <v>488</v>
      </c>
      <c r="E59">
        <v>10084</v>
      </c>
      <c r="F59" s="1">
        <v>42093</v>
      </c>
      <c r="G59" s="7">
        <v>83552</v>
      </c>
      <c r="H59" t="s">
        <v>498</v>
      </c>
      <c r="I59" s="1">
        <v>31650</v>
      </c>
      <c r="J59" t="s">
        <v>31</v>
      </c>
      <c r="K59" t="s">
        <v>23</v>
      </c>
      <c r="L59" t="s">
        <v>24</v>
      </c>
      <c r="M59" t="s">
        <v>21</v>
      </c>
      <c r="N59">
        <v>1810</v>
      </c>
      <c r="P59" t="s">
        <v>512</v>
      </c>
      <c r="Q59" t="s">
        <v>25</v>
      </c>
      <c r="R59" t="s">
        <v>35</v>
      </c>
      <c r="S59" t="s">
        <v>36</v>
      </c>
      <c r="T59">
        <v>3.04</v>
      </c>
      <c r="U59">
        <v>3</v>
      </c>
      <c r="V59" s="1">
        <v>43487</v>
      </c>
      <c r="W59">
        <v>2</v>
      </c>
      <c r="X59" t="str">
        <f>INDEX(Position!B:B,MATCH(Table1[[#This Row],[Position ID]],Position!A:A, 0 ))</f>
        <v>Data Analyst</v>
      </c>
      <c r="Y59" t="str">
        <f>INDEX(Department!B:B,MATCH(Table1[[#This Row],[Department ID]],Department!A:A,0))</f>
        <v>IT/IS</v>
      </c>
      <c r="Z59" t="str">
        <f>INDEX(Manager!B:B,MATCH(Table1[[#This Row],[Manger ID]],Manager!A:A,0))</f>
        <v>Simon Roup</v>
      </c>
      <c r="AA59">
        <f ca="1">DATEDIF(Table1[[#This Row],[DOB]],TODAY(), "Y")</f>
        <v>37</v>
      </c>
      <c r="AB59" t="str">
        <f ca="1">IF(Table1[[#This Row],[ Age]]&lt;18,"Less than 18",IF(Table1[[#This Row],[ Age]]&lt;=29,"18-29",IF(Table1[[#This Row],[ Age]]&lt;=49,"30-49",IF(Table1[[#This Row],[ Age]]&lt;=59,"50-59","60 or more"))))</f>
        <v>30-49</v>
      </c>
      <c r="AC59" s="8">
        <f ca="1">IF(ISBLANK(Table1[[#This Row],[DateofTermination]]),DATEDIF(Table1[[#This Row],[DateofHire]],TODAY(), "M"),DATEDIF(Table1[[#This Row],[DateofHire]],Table1[[#This Row],[DateofTermination]],"M"))/12</f>
        <v>9</v>
      </c>
      <c r="AD59" t="str">
        <f>IF(Table1[[#This Row],[EmpSatisfaction]]=1,"Very Dissatisfied", IF(Table1[[#This Row],[EmpSatisfaction]] = 2, "Dissatisfied", IF(Table1[[#This Row],[EmpSatisfaction]]  = 3, "Neutral", IF(Table1[[#This Row],[EmpSatisfaction]] = 4, "Satisfied", IF(Table1[[#This Row],[EmpSatisfaction]]=5,"Very Satisfied", " ")))))</f>
        <v>Neutral</v>
      </c>
      <c r="AE59">
        <f>YEAR(Table1[[#This Row],[DateofHire]])</f>
        <v>2015</v>
      </c>
      <c r="AF59" t="s">
        <v>25</v>
      </c>
    </row>
    <row r="60" spans="1:32" x14ac:dyDescent="0.3">
      <c r="A60" t="s">
        <v>144</v>
      </c>
      <c r="B60">
        <v>10132</v>
      </c>
      <c r="C60" t="s">
        <v>474</v>
      </c>
      <c r="D60" t="s">
        <v>489</v>
      </c>
      <c r="E60">
        <v>10026</v>
      </c>
      <c r="F60" s="1">
        <v>42557</v>
      </c>
      <c r="G60" s="7">
        <v>56149</v>
      </c>
      <c r="H60" t="s">
        <v>499</v>
      </c>
      <c r="I60" s="1">
        <v>31877</v>
      </c>
      <c r="J60" t="s">
        <v>22</v>
      </c>
      <c r="K60" t="s">
        <v>23</v>
      </c>
      <c r="L60" t="s">
        <v>24</v>
      </c>
      <c r="M60" t="s">
        <v>21</v>
      </c>
      <c r="N60">
        <v>1821</v>
      </c>
      <c r="P60" t="s">
        <v>512</v>
      </c>
      <c r="Q60" t="s">
        <v>25</v>
      </c>
      <c r="R60" t="s">
        <v>27</v>
      </c>
      <c r="S60" t="s">
        <v>36</v>
      </c>
      <c r="T60">
        <v>4.12</v>
      </c>
      <c r="U60">
        <v>5</v>
      </c>
      <c r="V60" s="1">
        <v>43493</v>
      </c>
      <c r="W60">
        <v>15</v>
      </c>
      <c r="X60" t="str">
        <f>INDEX(Position!B:B,MATCH(Table1[[#This Row],[Position ID]],Position!A:A, 0 ))</f>
        <v>Production Technician I</v>
      </c>
      <c r="Y60" t="str">
        <f>INDEX(Department!B:B,MATCH(Table1[[#This Row],[Department ID]],Department!A:A,0))</f>
        <v>Production</v>
      </c>
      <c r="Z60" t="str">
        <f>INDEX(Manager!B:B,MATCH(Table1[[#This Row],[Manger ID]],Manager!A:A,0))</f>
        <v>Michael Albert</v>
      </c>
      <c r="AA60">
        <f ca="1">DATEDIF(Table1[[#This Row],[DOB]],TODAY(), "Y")</f>
        <v>36</v>
      </c>
      <c r="AB60" t="str">
        <f ca="1">IF(Table1[[#This Row],[ Age]]&lt;18,"Less than 18",IF(Table1[[#This Row],[ Age]]&lt;=29,"18-29",IF(Table1[[#This Row],[ Age]]&lt;=49,"30-49",IF(Table1[[#This Row],[ Age]]&lt;=59,"50-59","60 or more"))))</f>
        <v>30-49</v>
      </c>
      <c r="AC60" s="8">
        <f ca="1">IF(ISBLANK(Table1[[#This Row],[DateofTermination]]),DATEDIF(Table1[[#This Row],[DateofHire]],TODAY(), "M"),DATEDIF(Table1[[#This Row],[DateofHire]],Table1[[#This Row],[DateofTermination]],"M"))/12</f>
        <v>7.75</v>
      </c>
      <c r="AD60" t="str">
        <f>IF(Table1[[#This Row],[EmpSatisfaction]]=1,"Very Dissatisfied", IF(Table1[[#This Row],[EmpSatisfaction]] = 2, "Dissatisfied", IF(Table1[[#This Row],[EmpSatisfaction]]  = 3, "Neutral", IF(Table1[[#This Row],[EmpSatisfaction]] = 4, "Satisfied", IF(Table1[[#This Row],[EmpSatisfaction]]=5,"Very Satisfied", " ")))))</f>
        <v>Very Satisfied</v>
      </c>
      <c r="AE60">
        <f>YEAR(Table1[[#This Row],[DateofHire]])</f>
        <v>2016</v>
      </c>
      <c r="AF60" t="s">
        <v>25</v>
      </c>
    </row>
    <row r="61" spans="1:32" x14ac:dyDescent="0.3">
      <c r="A61" t="s">
        <v>145</v>
      </c>
      <c r="B61">
        <v>10083</v>
      </c>
      <c r="C61" t="s">
        <v>483</v>
      </c>
      <c r="D61" t="s">
        <v>488</v>
      </c>
      <c r="E61">
        <v>10250</v>
      </c>
      <c r="F61" s="1">
        <v>41953</v>
      </c>
      <c r="G61" s="7">
        <v>92329</v>
      </c>
      <c r="H61" t="s">
        <v>498</v>
      </c>
      <c r="I61" s="1">
        <v>23994</v>
      </c>
      <c r="J61" t="s">
        <v>22</v>
      </c>
      <c r="K61" t="s">
        <v>23</v>
      </c>
      <c r="L61" t="s">
        <v>24</v>
      </c>
      <c r="M61" t="s">
        <v>92</v>
      </c>
      <c r="N61">
        <v>6278</v>
      </c>
      <c r="P61" t="s">
        <v>512</v>
      </c>
      <c r="Q61" t="s">
        <v>25</v>
      </c>
      <c r="R61" t="s">
        <v>55</v>
      </c>
      <c r="S61" t="s">
        <v>36</v>
      </c>
      <c r="T61">
        <v>5</v>
      </c>
      <c r="U61">
        <v>3</v>
      </c>
      <c r="V61" s="1">
        <v>43467</v>
      </c>
      <c r="W61">
        <v>5</v>
      </c>
      <c r="X61" t="str">
        <f>INDEX(Position!B:B,MATCH(Table1[[#This Row],[Position ID]],Position!A:A, 0 ))</f>
        <v>Sr. Network Engineer</v>
      </c>
      <c r="Y61" t="str">
        <f>INDEX(Department!B:B,MATCH(Table1[[#This Row],[Department ID]],Department!A:A,0))</f>
        <v>IT/IS</v>
      </c>
      <c r="Z61" t="str">
        <f>INDEX(Manager!B:B,MATCH(Table1[[#This Row],[Manger ID]],Manager!A:A,0))</f>
        <v>Peter Monroe</v>
      </c>
      <c r="AA61">
        <f ca="1">DATEDIF(Table1[[#This Row],[DOB]],TODAY(), "Y")</f>
        <v>58</v>
      </c>
      <c r="AB61" t="str">
        <f ca="1">IF(Table1[[#This Row],[ Age]]&lt;18,"Less than 18",IF(Table1[[#This Row],[ Age]]&lt;=29,"18-29",IF(Table1[[#This Row],[ Age]]&lt;=49,"30-49",IF(Table1[[#This Row],[ Age]]&lt;=59,"50-59","60 or more"))))</f>
        <v>50-59</v>
      </c>
      <c r="AC61" s="8">
        <f ca="1">IF(ISBLANK(Table1[[#This Row],[DateofTermination]]),DATEDIF(Table1[[#This Row],[DateofHire]],TODAY(), "M"),DATEDIF(Table1[[#This Row],[DateofHire]],Table1[[#This Row],[DateofTermination]],"M"))/12</f>
        <v>9.3333333333333339</v>
      </c>
      <c r="AD61" t="str">
        <f>IF(Table1[[#This Row],[EmpSatisfaction]]=1,"Very Dissatisfied", IF(Table1[[#This Row],[EmpSatisfaction]] = 2, "Dissatisfied", IF(Table1[[#This Row],[EmpSatisfaction]]  = 3, "Neutral", IF(Table1[[#This Row],[EmpSatisfaction]] = 4, "Satisfied", IF(Table1[[#This Row],[EmpSatisfaction]]=5,"Very Satisfied", " ")))))</f>
        <v>Neutral</v>
      </c>
      <c r="AE61">
        <f>YEAR(Table1[[#This Row],[DateofHire]])</f>
        <v>2014</v>
      </c>
      <c r="AF61" t="s">
        <v>25</v>
      </c>
    </row>
    <row r="62" spans="1:32" x14ac:dyDescent="0.3">
      <c r="A62" t="s">
        <v>147</v>
      </c>
      <c r="B62">
        <v>10099</v>
      </c>
      <c r="C62" t="s">
        <v>476</v>
      </c>
      <c r="D62" t="s">
        <v>490</v>
      </c>
      <c r="E62">
        <v>10099</v>
      </c>
      <c r="F62" s="1">
        <v>41764</v>
      </c>
      <c r="G62" s="7">
        <v>65729</v>
      </c>
      <c r="H62" t="s">
        <v>499</v>
      </c>
      <c r="I62" s="1">
        <v>32982</v>
      </c>
      <c r="J62" t="s">
        <v>22</v>
      </c>
      <c r="K62" t="s">
        <v>23</v>
      </c>
      <c r="L62" t="s">
        <v>24</v>
      </c>
      <c r="M62" t="s">
        <v>121</v>
      </c>
      <c r="N62">
        <v>5473</v>
      </c>
      <c r="P62" t="s">
        <v>512</v>
      </c>
      <c r="Q62" t="s">
        <v>25</v>
      </c>
      <c r="R62" t="s">
        <v>35</v>
      </c>
      <c r="S62" t="s">
        <v>36</v>
      </c>
      <c r="T62">
        <v>4.62</v>
      </c>
      <c r="U62">
        <v>4</v>
      </c>
      <c r="V62" s="1">
        <v>43489</v>
      </c>
      <c r="W62">
        <v>8</v>
      </c>
      <c r="X62" t="str">
        <f>INDEX(Position!B:B,MATCH(Table1[[#This Row],[Position ID]],Position!A:A, 0 ))</f>
        <v>Sales Manager</v>
      </c>
      <c r="Y62" t="str">
        <f>INDEX(Department!B:B,MATCH(Table1[[#This Row],[Department ID]],Department!A:A,0))</f>
        <v>Sales</v>
      </c>
      <c r="Z62" t="str">
        <f>INDEX(Manager!B:B,MATCH(Table1[[#This Row],[Manger ID]],Manager!A:A,0))</f>
        <v>Debra Houlihan</v>
      </c>
      <c r="AA62">
        <f ca="1">DATEDIF(Table1[[#This Row],[DOB]],TODAY(), "Y")</f>
        <v>33</v>
      </c>
      <c r="AB62" t="str">
        <f ca="1">IF(Table1[[#This Row],[ Age]]&lt;18,"Less than 18",IF(Table1[[#This Row],[ Age]]&lt;=29,"18-29",IF(Table1[[#This Row],[ Age]]&lt;=49,"30-49",IF(Table1[[#This Row],[ Age]]&lt;=59,"50-59","60 or more"))))</f>
        <v>30-49</v>
      </c>
      <c r="AC62" s="8">
        <f ca="1">IF(ISBLANK(Table1[[#This Row],[DateofTermination]]),DATEDIF(Table1[[#This Row],[DateofHire]],TODAY(), "M"),DATEDIF(Table1[[#This Row],[DateofHire]],Table1[[#This Row],[DateofTermination]],"M"))/12</f>
        <v>9.9166666666666661</v>
      </c>
      <c r="AD62" t="str">
        <f>IF(Table1[[#This Row],[EmpSatisfaction]]=1,"Very Dissatisfied", IF(Table1[[#This Row],[EmpSatisfaction]] = 2, "Dissatisfied", IF(Table1[[#This Row],[EmpSatisfaction]]  = 3, "Neutral", IF(Table1[[#This Row],[EmpSatisfaction]] = 4, "Satisfied", IF(Table1[[#This Row],[EmpSatisfaction]]=5,"Very Satisfied", " ")))))</f>
        <v>Satisfied</v>
      </c>
      <c r="AE62">
        <f>YEAR(Table1[[#This Row],[DateofHire]])</f>
        <v>2014</v>
      </c>
      <c r="AF62" t="s">
        <v>25</v>
      </c>
    </row>
    <row r="63" spans="1:32" x14ac:dyDescent="0.3">
      <c r="A63" t="s">
        <v>150</v>
      </c>
      <c r="B63">
        <v>10212</v>
      </c>
      <c r="C63" t="s">
        <v>483</v>
      </c>
      <c r="D63" t="s">
        <v>488</v>
      </c>
      <c r="E63">
        <v>10250</v>
      </c>
      <c r="F63" s="1">
        <v>41953</v>
      </c>
      <c r="G63" s="7">
        <v>85028</v>
      </c>
      <c r="H63" t="s">
        <v>499</v>
      </c>
      <c r="I63" s="1">
        <v>19011</v>
      </c>
      <c r="J63" t="s">
        <v>31</v>
      </c>
      <c r="K63" t="s">
        <v>23</v>
      </c>
      <c r="L63" t="s">
        <v>24</v>
      </c>
      <c r="M63" t="s">
        <v>92</v>
      </c>
      <c r="N63">
        <v>6033</v>
      </c>
      <c r="P63" t="s">
        <v>512</v>
      </c>
      <c r="Q63" t="s">
        <v>25</v>
      </c>
      <c r="R63" t="s">
        <v>27</v>
      </c>
      <c r="S63" t="s">
        <v>36</v>
      </c>
      <c r="T63">
        <v>3.1</v>
      </c>
      <c r="U63">
        <v>5</v>
      </c>
      <c r="V63" s="1">
        <v>43508</v>
      </c>
      <c r="W63">
        <v>19</v>
      </c>
      <c r="X63" t="str">
        <f>INDEX(Position!B:B,MATCH(Table1[[#This Row],[Position ID]],Position!A:A, 0 ))</f>
        <v>Sr. Network Engineer</v>
      </c>
      <c r="Y63" t="str">
        <f>INDEX(Department!B:B,MATCH(Table1[[#This Row],[Department ID]],Department!A:A,0))</f>
        <v>IT/IS</v>
      </c>
      <c r="Z63" t="str">
        <f>INDEX(Manager!B:B,MATCH(Table1[[#This Row],[Manger ID]],Manager!A:A,0))</f>
        <v>Peter Monroe</v>
      </c>
      <c r="AA63">
        <f ca="1">DATEDIF(Table1[[#This Row],[DOB]],TODAY(), "Y")</f>
        <v>72</v>
      </c>
      <c r="AB63" t="str">
        <f ca="1">IF(Table1[[#This Row],[ Age]]&lt;18,"Less than 18",IF(Table1[[#This Row],[ Age]]&lt;=29,"18-29",IF(Table1[[#This Row],[ Age]]&lt;=49,"30-49",IF(Table1[[#This Row],[ Age]]&lt;=59,"50-59","60 or more"))))</f>
        <v>60 or more</v>
      </c>
      <c r="AC63" s="8">
        <f ca="1">IF(ISBLANK(Table1[[#This Row],[DateofTermination]]),DATEDIF(Table1[[#This Row],[DateofHire]],TODAY(), "M"),DATEDIF(Table1[[#This Row],[DateofHire]],Table1[[#This Row],[DateofTermination]],"M"))/12</f>
        <v>9.3333333333333339</v>
      </c>
      <c r="AD63" t="str">
        <f>IF(Table1[[#This Row],[EmpSatisfaction]]=1,"Very Dissatisfied", IF(Table1[[#This Row],[EmpSatisfaction]] = 2, "Dissatisfied", IF(Table1[[#This Row],[EmpSatisfaction]]  = 3, "Neutral", IF(Table1[[#This Row],[EmpSatisfaction]] = 4, "Satisfied", IF(Table1[[#This Row],[EmpSatisfaction]]=5,"Very Satisfied", " ")))))</f>
        <v>Very Satisfied</v>
      </c>
      <c r="AE63">
        <f>YEAR(Table1[[#This Row],[DateofHire]])</f>
        <v>2014</v>
      </c>
      <c r="AF63" t="s">
        <v>25</v>
      </c>
    </row>
    <row r="64" spans="1:32" x14ac:dyDescent="0.3">
      <c r="A64" t="s">
        <v>151</v>
      </c>
      <c r="B64">
        <v>10056</v>
      </c>
      <c r="C64" t="s">
        <v>474</v>
      </c>
      <c r="D64" t="s">
        <v>489</v>
      </c>
      <c r="E64">
        <v>10088</v>
      </c>
      <c r="F64" s="1">
        <v>41092</v>
      </c>
      <c r="G64" s="7">
        <v>57583</v>
      </c>
      <c r="H64" t="s">
        <v>499</v>
      </c>
      <c r="I64" s="1">
        <v>28799</v>
      </c>
      <c r="J64" t="s">
        <v>31</v>
      </c>
      <c r="K64" t="s">
        <v>23</v>
      </c>
      <c r="L64" t="s">
        <v>24</v>
      </c>
      <c r="M64" t="s">
        <v>21</v>
      </c>
      <c r="N64">
        <v>2110</v>
      </c>
      <c r="P64" t="s">
        <v>512</v>
      </c>
      <c r="Q64" t="s">
        <v>25</v>
      </c>
      <c r="R64" t="s">
        <v>35</v>
      </c>
      <c r="S64" t="s">
        <v>36</v>
      </c>
      <c r="T64">
        <v>5</v>
      </c>
      <c r="U64">
        <v>3</v>
      </c>
      <c r="V64" s="1">
        <v>43521</v>
      </c>
      <c r="W64">
        <v>1</v>
      </c>
      <c r="X64" t="str">
        <f>INDEX(Position!B:B,MATCH(Table1[[#This Row],[Position ID]],Position!A:A, 0 ))</f>
        <v>Production Technician I</v>
      </c>
      <c r="Y64" t="str">
        <f>INDEX(Department!B:B,MATCH(Table1[[#This Row],[Department ID]],Department!A:A,0))</f>
        <v>Production</v>
      </c>
      <c r="Z64" t="str">
        <f>INDEX(Manager!B:B,MATCH(Table1[[#This Row],[Manger ID]],Manager!A:A,0))</f>
        <v>Elijiah Gray</v>
      </c>
      <c r="AA64">
        <f ca="1">DATEDIF(Table1[[#This Row],[DOB]],TODAY(), "Y")</f>
        <v>45</v>
      </c>
      <c r="AB64" t="str">
        <f ca="1">IF(Table1[[#This Row],[ Age]]&lt;18,"Less than 18",IF(Table1[[#This Row],[ Age]]&lt;=29,"18-29",IF(Table1[[#This Row],[ Age]]&lt;=49,"30-49",IF(Table1[[#This Row],[ Age]]&lt;=59,"50-59","60 or more"))))</f>
        <v>30-49</v>
      </c>
      <c r="AC64" s="8">
        <f ca="1">IF(ISBLANK(Table1[[#This Row],[DateofTermination]]),DATEDIF(Table1[[#This Row],[DateofHire]],TODAY(), "M"),DATEDIF(Table1[[#This Row],[DateofHire]],Table1[[#This Row],[DateofTermination]],"M"))/12</f>
        <v>11.75</v>
      </c>
      <c r="AD64" t="str">
        <f>IF(Table1[[#This Row],[EmpSatisfaction]]=1,"Very Dissatisfied", IF(Table1[[#This Row],[EmpSatisfaction]] = 2, "Dissatisfied", IF(Table1[[#This Row],[EmpSatisfaction]]  = 3, "Neutral", IF(Table1[[#This Row],[EmpSatisfaction]] = 4, "Satisfied", IF(Table1[[#This Row],[EmpSatisfaction]]=5,"Very Satisfied", " ")))))</f>
        <v>Neutral</v>
      </c>
      <c r="AE64">
        <f>YEAR(Table1[[#This Row],[DateofHire]])</f>
        <v>2012</v>
      </c>
      <c r="AF64" t="s">
        <v>25</v>
      </c>
    </row>
    <row r="65" spans="1:32" x14ac:dyDescent="0.3">
      <c r="A65" t="s">
        <v>152</v>
      </c>
      <c r="B65">
        <v>10143</v>
      </c>
      <c r="C65" t="s">
        <v>475</v>
      </c>
      <c r="D65" t="s">
        <v>489</v>
      </c>
      <c r="E65">
        <v>10196</v>
      </c>
      <c r="F65" s="1">
        <v>40854</v>
      </c>
      <c r="G65" s="7">
        <v>56294</v>
      </c>
      <c r="H65" t="s">
        <v>498</v>
      </c>
      <c r="I65" s="1">
        <v>29112</v>
      </c>
      <c r="J65" t="s">
        <v>22</v>
      </c>
      <c r="K65" t="s">
        <v>78</v>
      </c>
      <c r="L65" t="s">
        <v>70</v>
      </c>
      <c r="M65" t="s">
        <v>21</v>
      </c>
      <c r="N65">
        <v>2458</v>
      </c>
      <c r="P65" t="s">
        <v>512</v>
      </c>
      <c r="Q65" t="s">
        <v>25</v>
      </c>
      <c r="R65" t="s">
        <v>27</v>
      </c>
      <c r="S65" t="s">
        <v>36</v>
      </c>
      <c r="T65">
        <v>3.96</v>
      </c>
      <c r="U65">
        <v>4</v>
      </c>
      <c r="V65" s="1">
        <v>43523</v>
      </c>
      <c r="W65">
        <v>6</v>
      </c>
      <c r="X65" t="str">
        <f>INDEX(Position!B:B,MATCH(Table1[[#This Row],[Position ID]],Position!A:A, 0 ))</f>
        <v>Production Technician II</v>
      </c>
      <c r="Y65" t="str">
        <f>INDEX(Department!B:B,MATCH(Table1[[#This Row],[Department ID]],Department!A:A,0))</f>
        <v>Production</v>
      </c>
      <c r="Z65" t="str">
        <f>INDEX(Manager!B:B,MATCH(Table1[[#This Row],[Manger ID]],Manager!A:A,0))</f>
        <v>Kissy Sullivan</v>
      </c>
      <c r="AA65">
        <f ca="1">DATEDIF(Table1[[#This Row],[DOB]],TODAY(), "Y")</f>
        <v>44</v>
      </c>
      <c r="AB65" t="str">
        <f ca="1">IF(Table1[[#This Row],[ Age]]&lt;18,"Less than 18",IF(Table1[[#This Row],[ Age]]&lt;=29,"18-29",IF(Table1[[#This Row],[ Age]]&lt;=49,"30-49",IF(Table1[[#This Row],[ Age]]&lt;=59,"50-59","60 or more"))))</f>
        <v>30-49</v>
      </c>
      <c r="AC65" s="8">
        <f ca="1">IF(ISBLANK(Table1[[#This Row],[DateofTermination]]),DATEDIF(Table1[[#This Row],[DateofHire]],TODAY(), "M"),DATEDIF(Table1[[#This Row],[DateofHire]],Table1[[#This Row],[DateofTermination]],"M"))/12</f>
        <v>12.416666666666666</v>
      </c>
      <c r="AD65" t="str">
        <f>IF(Table1[[#This Row],[EmpSatisfaction]]=1,"Very Dissatisfied", IF(Table1[[#This Row],[EmpSatisfaction]] = 2, "Dissatisfied", IF(Table1[[#This Row],[EmpSatisfaction]]  = 3, "Neutral", IF(Table1[[#This Row],[EmpSatisfaction]] = 4, "Satisfied", IF(Table1[[#This Row],[EmpSatisfaction]]=5,"Very Satisfied", " ")))))</f>
        <v>Satisfied</v>
      </c>
      <c r="AE65">
        <f>YEAR(Table1[[#This Row],[DateofHire]])</f>
        <v>2011</v>
      </c>
      <c r="AF65" t="s">
        <v>25</v>
      </c>
    </row>
    <row r="66" spans="1:32" x14ac:dyDescent="0.3">
      <c r="A66" t="s">
        <v>153</v>
      </c>
      <c r="B66">
        <v>10311</v>
      </c>
      <c r="C66" t="s">
        <v>474</v>
      </c>
      <c r="D66" t="s">
        <v>489</v>
      </c>
      <c r="E66">
        <v>10114</v>
      </c>
      <c r="F66" s="1">
        <v>43290</v>
      </c>
      <c r="G66" s="7">
        <v>56991</v>
      </c>
      <c r="H66" t="s">
        <v>498</v>
      </c>
      <c r="I66" s="1">
        <v>32248</v>
      </c>
      <c r="J66" t="s">
        <v>31</v>
      </c>
      <c r="K66" t="s">
        <v>23</v>
      </c>
      <c r="L66" t="s">
        <v>24</v>
      </c>
      <c r="M66" t="s">
        <v>21</v>
      </c>
      <c r="N66">
        <v>2138</v>
      </c>
      <c r="P66" t="s">
        <v>512</v>
      </c>
      <c r="Q66" t="s">
        <v>25</v>
      </c>
      <c r="R66" t="s">
        <v>35</v>
      </c>
      <c r="S66" t="s">
        <v>36</v>
      </c>
      <c r="T66">
        <v>4.3</v>
      </c>
      <c r="U66">
        <v>4</v>
      </c>
      <c r="V66" s="1">
        <v>43496</v>
      </c>
      <c r="W66">
        <v>2</v>
      </c>
      <c r="X66" t="str">
        <f>INDEX(Position!B:B,MATCH(Table1[[#This Row],[Position ID]],Position!A:A, 0 ))</f>
        <v>Production Technician I</v>
      </c>
      <c r="Y66" t="str">
        <f>INDEX(Department!B:B,MATCH(Table1[[#This Row],[Department ID]],Department!A:A,0))</f>
        <v>Production</v>
      </c>
      <c r="Z66" t="str">
        <f>INDEX(Manager!B:B,MATCH(Table1[[#This Row],[Manger ID]],Manager!A:A,0))</f>
        <v>Brannon Miller</v>
      </c>
      <c r="AA66">
        <f ca="1">DATEDIF(Table1[[#This Row],[DOB]],TODAY(), "Y")</f>
        <v>35</v>
      </c>
      <c r="AB66" t="str">
        <f ca="1">IF(Table1[[#This Row],[ Age]]&lt;18,"Less than 18",IF(Table1[[#This Row],[ Age]]&lt;=29,"18-29",IF(Table1[[#This Row],[ Age]]&lt;=49,"30-49",IF(Table1[[#This Row],[ Age]]&lt;=59,"50-59","60 or more"))))</f>
        <v>30-49</v>
      </c>
      <c r="AC66" s="8">
        <f ca="1">IF(ISBLANK(Table1[[#This Row],[DateofTermination]]),DATEDIF(Table1[[#This Row],[DateofHire]],TODAY(), "M"),DATEDIF(Table1[[#This Row],[DateofHire]],Table1[[#This Row],[DateofTermination]],"M"))/12</f>
        <v>5.75</v>
      </c>
      <c r="AD66" t="str">
        <f>IF(Table1[[#This Row],[EmpSatisfaction]]=1,"Very Dissatisfied", IF(Table1[[#This Row],[EmpSatisfaction]] = 2, "Dissatisfied", IF(Table1[[#This Row],[EmpSatisfaction]]  = 3, "Neutral", IF(Table1[[#This Row],[EmpSatisfaction]] = 4, "Satisfied", IF(Table1[[#This Row],[EmpSatisfaction]]=5,"Very Satisfied", " ")))))</f>
        <v>Satisfied</v>
      </c>
      <c r="AE66">
        <f>YEAR(Table1[[#This Row],[DateofHire]])</f>
        <v>2018</v>
      </c>
      <c r="AF66" t="s">
        <v>25</v>
      </c>
    </row>
    <row r="67" spans="1:32" hidden="1" x14ac:dyDescent="0.3">
      <c r="A67" t="s">
        <v>154</v>
      </c>
      <c r="B67">
        <v>10070</v>
      </c>
      <c r="C67" t="s">
        <v>474</v>
      </c>
      <c r="D67" t="s">
        <v>489</v>
      </c>
      <c r="E67">
        <v>10069</v>
      </c>
      <c r="F67" s="1">
        <v>40679</v>
      </c>
      <c r="G67" s="7">
        <v>55722</v>
      </c>
      <c r="H67" t="s">
        <v>498</v>
      </c>
      <c r="I67" s="1">
        <v>28429</v>
      </c>
      <c r="J67" t="s">
        <v>31</v>
      </c>
      <c r="K67" t="s">
        <v>23</v>
      </c>
      <c r="L67" t="s">
        <v>24</v>
      </c>
      <c r="M67" t="s">
        <v>21</v>
      </c>
      <c r="N67">
        <v>1810</v>
      </c>
      <c r="O67" s="1">
        <v>42529</v>
      </c>
      <c r="P67" t="s">
        <v>517</v>
      </c>
      <c r="Q67" t="s">
        <v>32</v>
      </c>
      <c r="R67" t="s">
        <v>35</v>
      </c>
      <c r="S67" t="s">
        <v>36</v>
      </c>
      <c r="T67">
        <v>5</v>
      </c>
      <c r="U67">
        <v>4</v>
      </c>
      <c r="V67" s="1">
        <v>42462</v>
      </c>
      <c r="W67">
        <v>14</v>
      </c>
      <c r="X67" t="str">
        <f>INDEX(Position!B:B,MATCH(Table1[[#This Row],[Position ID]],Position!A:A, 0 ))</f>
        <v>Production Technician I</v>
      </c>
      <c r="Y67" t="str">
        <f>INDEX(Department!B:B,MATCH(Table1[[#This Row],[Department ID]],Department!A:A,0))</f>
        <v>Production</v>
      </c>
      <c r="Z67" t="str">
        <f>INDEX(Manager!B:B,MATCH(Table1[[#This Row],[Manger ID]],Manager!A:A,0))</f>
        <v>Webster Butler</v>
      </c>
      <c r="AA67">
        <f ca="1">DATEDIF(Table1[[#This Row],[DOB]],TODAY(), "Y")</f>
        <v>46</v>
      </c>
      <c r="AB67" t="str">
        <f ca="1">IF(Table1[[#This Row],[ Age]]&lt;18,"Less than 18",IF(Table1[[#This Row],[ Age]]&lt;=29,"18-29",IF(Table1[[#This Row],[ Age]]&lt;=49,"30-49",IF(Table1[[#This Row],[ Age]]&lt;=59,"50-59","60 or more"))))</f>
        <v>30-49</v>
      </c>
      <c r="AC67" s="8">
        <f ca="1">IF(ISBLANK(Table1[[#This Row],[DateofTermination]]),DATEDIF(Table1[[#This Row],[DateofHire]],TODAY(), "M"),DATEDIF(Table1[[#This Row],[DateofHire]],Table1[[#This Row],[DateofTermination]],"M"))/12</f>
        <v>5</v>
      </c>
      <c r="AD67" t="str">
        <f>IF(Table1[[#This Row],[EmpSatisfaction]]=1,"Very Dissatisfied", IF(Table1[[#This Row],[EmpSatisfaction]] = 2, "Dissatisfied", IF(Table1[[#This Row],[EmpSatisfaction]]  = 3, "Neutral", IF(Table1[[#This Row],[EmpSatisfaction]] = 4, "Satisfied", IF(Table1[[#This Row],[EmpSatisfaction]]=5,"Very Satisfied", " ")))))</f>
        <v>Satisfied</v>
      </c>
      <c r="AE67">
        <f>YEAR(Table1[[#This Row],[DateofHire]])</f>
        <v>2011</v>
      </c>
      <c r="AF67" t="s">
        <v>535</v>
      </c>
    </row>
    <row r="68" spans="1:32" x14ac:dyDescent="0.3">
      <c r="A68" t="s">
        <v>155</v>
      </c>
      <c r="B68">
        <v>10155</v>
      </c>
      <c r="C68" t="s">
        <v>479</v>
      </c>
      <c r="D68" t="s">
        <v>491</v>
      </c>
      <c r="E68">
        <v>10194</v>
      </c>
      <c r="F68" s="1">
        <v>40917</v>
      </c>
      <c r="G68" s="7">
        <v>101199</v>
      </c>
      <c r="H68" t="s">
        <v>499</v>
      </c>
      <c r="I68" s="1">
        <v>29041</v>
      </c>
      <c r="J68" t="s">
        <v>22</v>
      </c>
      <c r="K68" t="s">
        <v>23</v>
      </c>
      <c r="L68" t="s">
        <v>57</v>
      </c>
      <c r="M68" t="s">
        <v>21</v>
      </c>
      <c r="N68">
        <v>2176</v>
      </c>
      <c r="P68" t="s">
        <v>512</v>
      </c>
      <c r="Q68" t="s">
        <v>25</v>
      </c>
      <c r="R68" t="s">
        <v>87</v>
      </c>
      <c r="S68" t="s">
        <v>36</v>
      </c>
      <c r="T68">
        <v>3.79</v>
      </c>
      <c r="U68">
        <v>5</v>
      </c>
      <c r="V68" s="1">
        <v>43490</v>
      </c>
      <c r="W68">
        <v>8</v>
      </c>
      <c r="X68" t="str">
        <f>INDEX(Position!B:B,MATCH(Table1[[#This Row],[Position ID]],Position!A:A, 0 ))</f>
        <v>Software Engineer</v>
      </c>
      <c r="Y68" t="str">
        <f>INDEX(Department!B:B,MATCH(Table1[[#This Row],[Department ID]],Department!A:A,0))</f>
        <v>Software Engineering</v>
      </c>
      <c r="Z68" t="str">
        <f>INDEX(Manager!B:B,MATCH(Table1[[#This Row],[Manger ID]],Manager!A:A,0))</f>
        <v>Alex Sweetwater</v>
      </c>
      <c r="AA68">
        <f ca="1">DATEDIF(Table1[[#This Row],[DOB]],TODAY(), "Y")</f>
        <v>44</v>
      </c>
      <c r="AB68" t="str">
        <f ca="1">IF(Table1[[#This Row],[ Age]]&lt;18,"Less than 18",IF(Table1[[#This Row],[ Age]]&lt;=29,"18-29",IF(Table1[[#This Row],[ Age]]&lt;=49,"30-49",IF(Table1[[#This Row],[ Age]]&lt;=59,"50-59","60 or more"))))</f>
        <v>30-49</v>
      </c>
      <c r="AC68" s="8">
        <f ca="1">IF(ISBLANK(Table1[[#This Row],[DateofTermination]]),DATEDIF(Table1[[#This Row],[DateofHire]],TODAY(), "M"),DATEDIF(Table1[[#This Row],[DateofHire]],Table1[[#This Row],[DateofTermination]],"M"))/12</f>
        <v>12.25</v>
      </c>
      <c r="AD68" t="str">
        <f>IF(Table1[[#This Row],[EmpSatisfaction]]=1,"Very Dissatisfied", IF(Table1[[#This Row],[EmpSatisfaction]] = 2, "Dissatisfied", IF(Table1[[#This Row],[EmpSatisfaction]]  = 3, "Neutral", IF(Table1[[#This Row],[EmpSatisfaction]] = 4, "Satisfied", IF(Table1[[#This Row],[EmpSatisfaction]]=5,"Very Satisfied", " ")))))</f>
        <v>Very Satisfied</v>
      </c>
      <c r="AE68">
        <f>YEAR(Table1[[#This Row],[DateofHire]])</f>
        <v>2012</v>
      </c>
      <c r="AF68" t="s">
        <v>25</v>
      </c>
    </row>
    <row r="69" spans="1:32" x14ac:dyDescent="0.3">
      <c r="A69" t="s">
        <v>156</v>
      </c>
      <c r="B69">
        <v>10306</v>
      </c>
      <c r="C69" t="s">
        <v>454</v>
      </c>
      <c r="D69" t="s">
        <v>490</v>
      </c>
      <c r="E69">
        <v>10188</v>
      </c>
      <c r="F69" s="1">
        <v>41911</v>
      </c>
      <c r="G69" s="7">
        <v>61568</v>
      </c>
      <c r="H69" t="s">
        <v>498</v>
      </c>
      <c r="I69" s="1">
        <v>27700</v>
      </c>
      <c r="J69" t="s">
        <v>22</v>
      </c>
      <c r="K69" t="s">
        <v>23</v>
      </c>
      <c r="L69" t="s">
        <v>70</v>
      </c>
      <c r="M69" t="s">
        <v>157</v>
      </c>
      <c r="N69">
        <v>36006</v>
      </c>
      <c r="P69" t="s">
        <v>512</v>
      </c>
      <c r="Q69" t="s">
        <v>25</v>
      </c>
      <c r="R69" t="s">
        <v>35</v>
      </c>
      <c r="S69" t="s">
        <v>158</v>
      </c>
      <c r="T69">
        <v>1.93</v>
      </c>
      <c r="U69">
        <v>3</v>
      </c>
      <c r="V69" s="1">
        <v>43495</v>
      </c>
      <c r="W69">
        <v>5</v>
      </c>
      <c r="X69" t="str">
        <f>INDEX(Position!B:B,MATCH(Table1[[#This Row],[Position ID]],Position!A:A, 0 ))</f>
        <v>Area Sales Manager</v>
      </c>
      <c r="Y69" t="str">
        <f>INDEX(Department!B:B,MATCH(Table1[[#This Row],[Department ID]],Department!A:A,0))</f>
        <v>Sales</v>
      </c>
      <c r="Z69" t="str">
        <f>INDEX(Manager!B:B,MATCH(Table1[[#This Row],[Manger ID]],Manager!A:A,0))</f>
        <v>John Smith</v>
      </c>
      <c r="AA69">
        <f ca="1">DATEDIF(Table1[[#This Row],[DOB]],TODAY(), "Y")</f>
        <v>48</v>
      </c>
      <c r="AB69" t="str">
        <f ca="1">IF(Table1[[#This Row],[ Age]]&lt;18,"Less than 18",IF(Table1[[#This Row],[ Age]]&lt;=29,"18-29",IF(Table1[[#This Row],[ Age]]&lt;=49,"30-49",IF(Table1[[#This Row],[ Age]]&lt;=59,"50-59","60 or more"))))</f>
        <v>30-49</v>
      </c>
      <c r="AC69" s="8">
        <f ca="1">IF(ISBLANK(Table1[[#This Row],[DateofTermination]]),DATEDIF(Table1[[#This Row],[DateofHire]],TODAY(), "M"),DATEDIF(Table1[[#This Row],[DateofHire]],Table1[[#This Row],[DateofTermination]],"M"))/12</f>
        <v>9.5</v>
      </c>
      <c r="AD69" t="str">
        <f>IF(Table1[[#This Row],[EmpSatisfaction]]=1,"Very Dissatisfied", IF(Table1[[#This Row],[EmpSatisfaction]] = 2, "Dissatisfied", IF(Table1[[#This Row],[EmpSatisfaction]]  = 3, "Neutral", IF(Table1[[#This Row],[EmpSatisfaction]] = 4, "Satisfied", IF(Table1[[#This Row],[EmpSatisfaction]]=5,"Very Satisfied", " ")))))</f>
        <v>Neutral</v>
      </c>
      <c r="AE69">
        <f>YEAR(Table1[[#This Row],[DateofHire]])</f>
        <v>2014</v>
      </c>
      <c r="AF69" t="s">
        <v>25</v>
      </c>
    </row>
    <row r="70" spans="1:32" hidden="1" x14ac:dyDescent="0.3">
      <c r="A70" t="s">
        <v>159</v>
      </c>
      <c r="B70">
        <v>10100</v>
      </c>
      <c r="C70" t="s">
        <v>475</v>
      </c>
      <c r="D70" t="s">
        <v>489</v>
      </c>
      <c r="E70">
        <v>10265</v>
      </c>
      <c r="F70" s="1">
        <v>40637</v>
      </c>
      <c r="G70" s="7">
        <v>58275</v>
      </c>
      <c r="H70" t="s">
        <v>499</v>
      </c>
      <c r="I70" s="1">
        <v>18684</v>
      </c>
      <c r="J70" t="s">
        <v>105</v>
      </c>
      <c r="K70" t="s">
        <v>23</v>
      </c>
      <c r="L70" t="s">
        <v>57</v>
      </c>
      <c r="M70" t="s">
        <v>21</v>
      </c>
      <c r="N70">
        <v>2343</v>
      </c>
      <c r="O70" s="1">
        <v>42312</v>
      </c>
      <c r="P70" t="s">
        <v>523</v>
      </c>
      <c r="Q70" t="s">
        <v>32</v>
      </c>
      <c r="R70" t="s">
        <v>45</v>
      </c>
      <c r="S70" t="s">
        <v>36</v>
      </c>
      <c r="T70">
        <v>4.62</v>
      </c>
      <c r="U70">
        <v>5</v>
      </c>
      <c r="V70" s="1">
        <v>42130</v>
      </c>
      <c r="W70">
        <v>1</v>
      </c>
      <c r="X70" t="str">
        <f>INDEX(Position!B:B,MATCH(Table1[[#This Row],[Position ID]],Position!A:A, 0 ))</f>
        <v>Production Technician II</v>
      </c>
      <c r="Y70" t="str">
        <f>INDEX(Department!B:B,MATCH(Table1[[#This Row],[Department ID]],Department!A:A,0))</f>
        <v>Production</v>
      </c>
      <c r="Z70" t="str">
        <f>INDEX(Manager!B:B,MATCH(Table1[[#This Row],[Manger ID]],Manager!A:A,0))</f>
        <v>Kelley Spirea</v>
      </c>
      <c r="AA70">
        <f ca="1">DATEDIF(Table1[[#This Row],[DOB]],TODAY(), "Y")</f>
        <v>73</v>
      </c>
      <c r="AB70" t="str">
        <f ca="1">IF(Table1[[#This Row],[ Age]]&lt;18,"Less than 18",IF(Table1[[#This Row],[ Age]]&lt;=29,"18-29",IF(Table1[[#This Row],[ Age]]&lt;=49,"30-49",IF(Table1[[#This Row],[ Age]]&lt;=59,"50-59","60 or more"))))</f>
        <v>60 or more</v>
      </c>
      <c r="AC70" s="8">
        <f ca="1">IF(ISBLANK(Table1[[#This Row],[DateofTermination]]),DATEDIF(Table1[[#This Row],[DateofHire]],TODAY(), "M"),DATEDIF(Table1[[#This Row],[DateofHire]],Table1[[#This Row],[DateofTermination]],"M"))/12</f>
        <v>4.583333333333333</v>
      </c>
      <c r="AD70" t="str">
        <f>IF(Table1[[#This Row],[EmpSatisfaction]]=1,"Very Dissatisfied", IF(Table1[[#This Row],[EmpSatisfaction]] = 2, "Dissatisfied", IF(Table1[[#This Row],[EmpSatisfaction]]  = 3, "Neutral", IF(Table1[[#This Row],[EmpSatisfaction]] = 4, "Satisfied", IF(Table1[[#This Row],[EmpSatisfaction]]=5,"Very Satisfied", " ")))))</f>
        <v>Very Satisfied</v>
      </c>
      <c r="AE70">
        <f>YEAR(Table1[[#This Row],[DateofHire]])</f>
        <v>2011</v>
      </c>
      <c r="AF70" t="s">
        <v>535</v>
      </c>
    </row>
    <row r="71" spans="1:32" x14ac:dyDescent="0.3">
      <c r="A71" t="s">
        <v>160</v>
      </c>
      <c r="B71">
        <v>10310</v>
      </c>
      <c r="C71" t="s">
        <v>474</v>
      </c>
      <c r="D71" t="s">
        <v>489</v>
      </c>
      <c r="E71">
        <v>10002</v>
      </c>
      <c r="F71" s="1">
        <v>41827</v>
      </c>
      <c r="G71" s="7">
        <v>53189</v>
      </c>
      <c r="H71" t="s">
        <v>498</v>
      </c>
      <c r="I71" s="1">
        <v>24581</v>
      </c>
      <c r="J71" t="s">
        <v>31</v>
      </c>
      <c r="K71" t="s">
        <v>23</v>
      </c>
      <c r="L71" t="s">
        <v>24</v>
      </c>
      <c r="M71" t="s">
        <v>21</v>
      </c>
      <c r="N71">
        <v>2061</v>
      </c>
      <c r="P71" t="s">
        <v>512</v>
      </c>
      <c r="Q71" t="s">
        <v>25</v>
      </c>
      <c r="R71" t="s">
        <v>35</v>
      </c>
      <c r="S71" t="s">
        <v>158</v>
      </c>
      <c r="T71">
        <v>1.1200000000000001</v>
      </c>
      <c r="U71">
        <v>2</v>
      </c>
      <c r="V71" s="1">
        <v>43496</v>
      </c>
      <c r="W71">
        <v>9</v>
      </c>
      <c r="X71" t="str">
        <f>INDEX(Position!B:B,MATCH(Table1[[#This Row],[Position ID]],Position!A:A, 0 ))</f>
        <v>Production Technician I</v>
      </c>
      <c r="Y71" t="str">
        <f>INDEX(Department!B:B,MATCH(Table1[[#This Row],[Department ID]],Department!A:A,0))</f>
        <v>Production</v>
      </c>
      <c r="Z71" t="str">
        <f>INDEX(Manager!B:B,MATCH(Table1[[#This Row],[Manger ID]],Manager!A:A,0))</f>
        <v>Amy Dunn</v>
      </c>
      <c r="AA71">
        <f ca="1">DATEDIF(Table1[[#This Row],[DOB]],TODAY(), "Y")</f>
        <v>56</v>
      </c>
      <c r="AB71" t="str">
        <f ca="1">IF(Table1[[#This Row],[ Age]]&lt;18,"Less than 18",IF(Table1[[#This Row],[ Age]]&lt;=29,"18-29",IF(Table1[[#This Row],[ Age]]&lt;=49,"30-49",IF(Table1[[#This Row],[ Age]]&lt;=59,"50-59","60 or more"))))</f>
        <v>50-59</v>
      </c>
      <c r="AC71" s="8">
        <f ca="1">IF(ISBLANK(Table1[[#This Row],[DateofTermination]]),DATEDIF(Table1[[#This Row],[DateofHire]],TODAY(), "M"),DATEDIF(Table1[[#This Row],[DateofHire]],Table1[[#This Row],[DateofTermination]],"M"))/12</f>
        <v>9.75</v>
      </c>
      <c r="AD71" t="str">
        <f>IF(Table1[[#This Row],[EmpSatisfaction]]=1,"Very Dissatisfied", IF(Table1[[#This Row],[EmpSatisfaction]] = 2, "Dissatisfied", IF(Table1[[#This Row],[EmpSatisfaction]]  = 3, "Neutral", IF(Table1[[#This Row],[EmpSatisfaction]] = 4, "Satisfied", IF(Table1[[#This Row],[EmpSatisfaction]]=5,"Very Satisfied", " ")))))</f>
        <v>Dissatisfied</v>
      </c>
      <c r="AE71">
        <f>YEAR(Table1[[#This Row],[DateofHire]])</f>
        <v>2014</v>
      </c>
      <c r="AF71" t="s">
        <v>25</v>
      </c>
    </row>
    <row r="72" spans="1:32" x14ac:dyDescent="0.3">
      <c r="A72" t="s">
        <v>161</v>
      </c>
      <c r="B72">
        <v>10197</v>
      </c>
      <c r="C72" t="s">
        <v>455</v>
      </c>
      <c r="D72" t="s">
        <v>488</v>
      </c>
      <c r="E72">
        <v>10197</v>
      </c>
      <c r="F72" s="1">
        <v>42781</v>
      </c>
      <c r="G72" s="7">
        <v>96820</v>
      </c>
      <c r="H72" t="s">
        <v>498</v>
      </c>
      <c r="I72" s="1">
        <v>30563</v>
      </c>
      <c r="J72" t="s">
        <v>22</v>
      </c>
      <c r="K72" t="s">
        <v>23</v>
      </c>
      <c r="L72" t="s">
        <v>24</v>
      </c>
      <c r="M72" t="s">
        <v>21</v>
      </c>
      <c r="N72">
        <v>2045</v>
      </c>
      <c r="P72" t="s">
        <v>512</v>
      </c>
      <c r="Q72" t="s">
        <v>25</v>
      </c>
      <c r="R72" t="s">
        <v>35</v>
      </c>
      <c r="S72" t="s">
        <v>36</v>
      </c>
      <c r="T72">
        <v>3.01</v>
      </c>
      <c r="U72">
        <v>5</v>
      </c>
      <c r="V72" s="1">
        <v>43488</v>
      </c>
      <c r="W72">
        <v>15</v>
      </c>
      <c r="X72" t="str">
        <f>INDEX(Position!B:B,MATCH(Table1[[#This Row],[Position ID]],Position!A:A, 0 ))</f>
        <v>BI Developer</v>
      </c>
      <c r="Y72" t="str">
        <f>INDEX(Department!B:B,MATCH(Table1[[#This Row],[Department ID]],Department!A:A,0))</f>
        <v>IT/IS</v>
      </c>
      <c r="Z72" t="str">
        <f>INDEX(Manager!B:B,MATCH(Table1[[#This Row],[Manger ID]],Manager!A:A,0))</f>
        <v>Brian Champaigne</v>
      </c>
      <c r="AA72">
        <f ca="1">DATEDIF(Table1[[#This Row],[DOB]],TODAY(), "Y")</f>
        <v>40</v>
      </c>
      <c r="AB72" t="str">
        <f ca="1">IF(Table1[[#This Row],[ Age]]&lt;18,"Less than 18",IF(Table1[[#This Row],[ Age]]&lt;=29,"18-29",IF(Table1[[#This Row],[ Age]]&lt;=49,"30-49",IF(Table1[[#This Row],[ Age]]&lt;=59,"50-59","60 or more"))))</f>
        <v>30-49</v>
      </c>
      <c r="AC72" s="8">
        <f ca="1">IF(ISBLANK(Table1[[#This Row],[DateofTermination]]),DATEDIF(Table1[[#This Row],[DateofHire]],TODAY(), "M"),DATEDIF(Table1[[#This Row],[DateofHire]],Table1[[#This Row],[DateofTermination]],"M"))/12</f>
        <v>7.083333333333333</v>
      </c>
      <c r="AD72" t="str">
        <f>IF(Table1[[#This Row],[EmpSatisfaction]]=1,"Very Dissatisfied", IF(Table1[[#This Row],[EmpSatisfaction]] = 2, "Dissatisfied", IF(Table1[[#This Row],[EmpSatisfaction]]  = 3, "Neutral", IF(Table1[[#This Row],[EmpSatisfaction]] = 4, "Satisfied", IF(Table1[[#This Row],[EmpSatisfaction]]=5,"Very Satisfied", " ")))))</f>
        <v>Very Satisfied</v>
      </c>
      <c r="AE72">
        <f>YEAR(Table1[[#This Row],[DateofHire]])</f>
        <v>2017</v>
      </c>
      <c r="AF72" t="s">
        <v>25</v>
      </c>
    </row>
    <row r="73" spans="1:32" x14ac:dyDescent="0.3">
      <c r="A73" t="s">
        <v>164</v>
      </c>
      <c r="B73">
        <v>10276</v>
      </c>
      <c r="C73" t="s">
        <v>474</v>
      </c>
      <c r="D73" t="s">
        <v>489</v>
      </c>
      <c r="E73">
        <v>10062</v>
      </c>
      <c r="F73" s="1">
        <v>41771</v>
      </c>
      <c r="G73" s="7">
        <v>51259</v>
      </c>
      <c r="H73" t="s">
        <v>498</v>
      </c>
      <c r="I73" s="1">
        <v>30270</v>
      </c>
      <c r="J73" t="s">
        <v>22</v>
      </c>
      <c r="K73" t="s">
        <v>23</v>
      </c>
      <c r="L73" t="s">
        <v>24</v>
      </c>
      <c r="M73" t="s">
        <v>21</v>
      </c>
      <c r="N73">
        <v>2180</v>
      </c>
      <c r="P73" t="s">
        <v>512</v>
      </c>
      <c r="Q73" t="s">
        <v>25</v>
      </c>
      <c r="R73" t="s">
        <v>35</v>
      </c>
      <c r="S73" t="s">
        <v>36</v>
      </c>
      <c r="T73">
        <v>4.3</v>
      </c>
      <c r="U73">
        <v>4</v>
      </c>
      <c r="V73" s="1">
        <v>43515</v>
      </c>
      <c r="W73">
        <v>1</v>
      </c>
      <c r="X73" t="str">
        <f>INDEX(Position!B:B,MATCH(Table1[[#This Row],[Position ID]],Position!A:A, 0 ))</f>
        <v>Production Technician I</v>
      </c>
      <c r="Y73" t="str">
        <f>INDEX(Department!B:B,MATCH(Table1[[#This Row],[Department ID]],Department!A:A,0))</f>
        <v>Production</v>
      </c>
      <c r="Z73" t="str">
        <f>INDEX(Manager!B:B,MATCH(Table1[[#This Row],[Manger ID]],Manager!A:A,0))</f>
        <v>Ketsia Liebig</v>
      </c>
      <c r="AA73">
        <f ca="1">DATEDIF(Table1[[#This Row],[DOB]],TODAY(), "Y")</f>
        <v>41</v>
      </c>
      <c r="AB73" t="str">
        <f ca="1">IF(Table1[[#This Row],[ Age]]&lt;18,"Less than 18",IF(Table1[[#This Row],[ Age]]&lt;=29,"18-29",IF(Table1[[#This Row],[ Age]]&lt;=49,"30-49",IF(Table1[[#This Row],[ Age]]&lt;=59,"50-59","60 or more"))))</f>
        <v>30-49</v>
      </c>
      <c r="AC73" s="8">
        <f ca="1">IF(ISBLANK(Table1[[#This Row],[DateofTermination]]),DATEDIF(Table1[[#This Row],[DateofHire]],TODAY(), "M"),DATEDIF(Table1[[#This Row],[DateofHire]],Table1[[#This Row],[DateofTermination]],"M"))/12</f>
        <v>9.8333333333333339</v>
      </c>
      <c r="AD73" t="str">
        <f>IF(Table1[[#This Row],[EmpSatisfaction]]=1,"Very Dissatisfied", IF(Table1[[#This Row],[EmpSatisfaction]] = 2, "Dissatisfied", IF(Table1[[#This Row],[EmpSatisfaction]]  = 3, "Neutral", IF(Table1[[#This Row],[EmpSatisfaction]] = 4, "Satisfied", IF(Table1[[#This Row],[EmpSatisfaction]]=5,"Very Satisfied", " ")))))</f>
        <v>Satisfied</v>
      </c>
      <c r="AE73">
        <f>YEAR(Table1[[#This Row],[DateofHire]])</f>
        <v>2014</v>
      </c>
      <c r="AF73" t="s">
        <v>25</v>
      </c>
    </row>
    <row r="74" spans="1:32" x14ac:dyDescent="0.3">
      <c r="A74" t="s">
        <v>165</v>
      </c>
      <c r="B74">
        <v>10304</v>
      </c>
      <c r="C74" t="s">
        <v>454</v>
      </c>
      <c r="D74" t="s">
        <v>490</v>
      </c>
      <c r="E74">
        <v>10188</v>
      </c>
      <c r="F74" s="1">
        <v>40959</v>
      </c>
      <c r="G74" s="7">
        <v>59231</v>
      </c>
      <c r="H74" t="s">
        <v>499</v>
      </c>
      <c r="I74" s="1">
        <v>31911</v>
      </c>
      <c r="J74" t="s">
        <v>22</v>
      </c>
      <c r="K74" t="s">
        <v>23</v>
      </c>
      <c r="L74" t="s">
        <v>24</v>
      </c>
      <c r="M74" t="s">
        <v>166</v>
      </c>
      <c r="N74">
        <v>98052</v>
      </c>
      <c r="P74" t="s">
        <v>512</v>
      </c>
      <c r="Q74" t="s">
        <v>25</v>
      </c>
      <c r="R74" t="s">
        <v>167</v>
      </c>
      <c r="S74" t="s">
        <v>158</v>
      </c>
      <c r="T74">
        <v>2.2999999999999998</v>
      </c>
      <c r="U74">
        <v>1</v>
      </c>
      <c r="V74" s="1">
        <v>43494</v>
      </c>
      <c r="W74">
        <v>17</v>
      </c>
      <c r="X74" t="str">
        <f>INDEX(Position!B:B,MATCH(Table1[[#This Row],[Position ID]],Position!A:A, 0 ))</f>
        <v>Area Sales Manager</v>
      </c>
      <c r="Y74" t="str">
        <f>INDEX(Department!B:B,MATCH(Table1[[#This Row],[Department ID]],Department!A:A,0))</f>
        <v>Sales</v>
      </c>
      <c r="Z74" t="str">
        <f>INDEX(Manager!B:B,MATCH(Table1[[#This Row],[Manger ID]],Manager!A:A,0))</f>
        <v>John Smith</v>
      </c>
      <c r="AA74">
        <f ca="1">DATEDIF(Table1[[#This Row],[DOB]],TODAY(), "Y")</f>
        <v>36</v>
      </c>
      <c r="AB74" t="str">
        <f ca="1">IF(Table1[[#This Row],[ Age]]&lt;18,"Less than 18",IF(Table1[[#This Row],[ Age]]&lt;=29,"18-29",IF(Table1[[#This Row],[ Age]]&lt;=49,"30-49",IF(Table1[[#This Row],[ Age]]&lt;=59,"50-59","60 or more"))))</f>
        <v>30-49</v>
      </c>
      <c r="AC74" s="8">
        <f ca="1">IF(ISBLANK(Table1[[#This Row],[DateofTermination]]),DATEDIF(Table1[[#This Row],[DateofHire]],TODAY(), "M"),DATEDIF(Table1[[#This Row],[DateofHire]],Table1[[#This Row],[DateofTermination]],"M"))/12</f>
        <v>12.083333333333334</v>
      </c>
      <c r="AD74" t="str">
        <f>IF(Table1[[#This Row],[EmpSatisfaction]]=1,"Very Dissatisfied", IF(Table1[[#This Row],[EmpSatisfaction]] = 2, "Dissatisfied", IF(Table1[[#This Row],[EmpSatisfaction]]  = 3, "Neutral", IF(Table1[[#This Row],[EmpSatisfaction]] = 4, "Satisfied", IF(Table1[[#This Row],[EmpSatisfaction]]=5,"Very Satisfied", " ")))))</f>
        <v>Very Dissatisfied</v>
      </c>
      <c r="AE74">
        <f>YEAR(Table1[[#This Row],[DateofHire]])</f>
        <v>2012</v>
      </c>
      <c r="AF74" t="s">
        <v>25</v>
      </c>
    </row>
    <row r="75" spans="1:32" x14ac:dyDescent="0.3">
      <c r="A75" t="s">
        <v>168</v>
      </c>
      <c r="B75">
        <v>10284</v>
      </c>
      <c r="C75" t="s">
        <v>474</v>
      </c>
      <c r="D75" t="s">
        <v>489</v>
      </c>
      <c r="E75">
        <v>10114</v>
      </c>
      <c r="F75" s="1">
        <v>41281</v>
      </c>
      <c r="G75" s="7">
        <v>61584</v>
      </c>
      <c r="H75" t="s">
        <v>499</v>
      </c>
      <c r="I75" s="1">
        <v>28826</v>
      </c>
      <c r="J75" t="s">
        <v>31</v>
      </c>
      <c r="K75" t="s">
        <v>23</v>
      </c>
      <c r="L75" t="s">
        <v>57</v>
      </c>
      <c r="M75" t="s">
        <v>21</v>
      </c>
      <c r="N75">
        <v>2351</v>
      </c>
      <c r="P75" t="s">
        <v>512</v>
      </c>
      <c r="Q75" t="s">
        <v>25</v>
      </c>
      <c r="R75" t="s">
        <v>35</v>
      </c>
      <c r="S75" t="s">
        <v>88</v>
      </c>
      <c r="T75">
        <v>3.88</v>
      </c>
      <c r="U75">
        <v>4</v>
      </c>
      <c r="V75" s="1">
        <v>43483</v>
      </c>
      <c r="W75">
        <v>6</v>
      </c>
      <c r="X75" t="str">
        <f>INDEX(Position!B:B,MATCH(Table1[[#This Row],[Position ID]],Position!A:A, 0 ))</f>
        <v>Production Technician I</v>
      </c>
      <c r="Y75" t="str">
        <f>INDEX(Department!B:B,MATCH(Table1[[#This Row],[Department ID]],Department!A:A,0))</f>
        <v>Production</v>
      </c>
      <c r="Z75" t="str">
        <f>INDEX(Manager!B:B,MATCH(Table1[[#This Row],[Manger ID]],Manager!A:A,0))</f>
        <v>Brannon Miller</v>
      </c>
      <c r="AA75">
        <f ca="1">DATEDIF(Table1[[#This Row],[DOB]],TODAY(), "Y")</f>
        <v>45</v>
      </c>
      <c r="AB75" t="str">
        <f ca="1">IF(Table1[[#This Row],[ Age]]&lt;18,"Less than 18",IF(Table1[[#This Row],[ Age]]&lt;=29,"18-29",IF(Table1[[#This Row],[ Age]]&lt;=49,"30-49",IF(Table1[[#This Row],[ Age]]&lt;=59,"50-59","60 or more"))))</f>
        <v>30-49</v>
      </c>
      <c r="AC75" s="8">
        <f ca="1">IF(ISBLANK(Table1[[#This Row],[DateofTermination]]),DATEDIF(Table1[[#This Row],[DateofHire]],TODAY(), "M"),DATEDIF(Table1[[#This Row],[DateofHire]],Table1[[#This Row],[DateofTermination]],"M"))/12</f>
        <v>11.25</v>
      </c>
      <c r="AD75" t="str">
        <f>IF(Table1[[#This Row],[EmpSatisfaction]]=1,"Very Dissatisfied", IF(Table1[[#This Row],[EmpSatisfaction]] = 2, "Dissatisfied", IF(Table1[[#This Row],[EmpSatisfaction]]  = 3, "Neutral", IF(Table1[[#This Row],[EmpSatisfaction]] = 4, "Satisfied", IF(Table1[[#This Row],[EmpSatisfaction]]=5,"Very Satisfied", " ")))))</f>
        <v>Satisfied</v>
      </c>
      <c r="AE75">
        <f>YEAR(Table1[[#This Row],[DateofHire]])</f>
        <v>2013</v>
      </c>
      <c r="AF75" t="s">
        <v>25</v>
      </c>
    </row>
    <row r="76" spans="1:32" x14ac:dyDescent="0.3">
      <c r="A76" t="s">
        <v>169</v>
      </c>
      <c r="B76">
        <v>10207</v>
      </c>
      <c r="C76" t="s">
        <v>474</v>
      </c>
      <c r="D76" t="s">
        <v>489</v>
      </c>
      <c r="E76">
        <v>10252</v>
      </c>
      <c r="F76" s="1">
        <v>41001</v>
      </c>
      <c r="G76" s="7">
        <v>46335</v>
      </c>
      <c r="H76" t="s">
        <v>499</v>
      </c>
      <c r="I76" s="1">
        <v>31692</v>
      </c>
      <c r="J76" t="s">
        <v>22</v>
      </c>
      <c r="K76" t="s">
        <v>23</v>
      </c>
      <c r="L76" t="s">
        <v>24</v>
      </c>
      <c r="M76" t="s">
        <v>21</v>
      </c>
      <c r="N76">
        <v>2125</v>
      </c>
      <c r="P76" t="s">
        <v>512</v>
      </c>
      <c r="Q76" t="s">
        <v>25</v>
      </c>
      <c r="R76" t="s">
        <v>87</v>
      </c>
      <c r="S76" t="s">
        <v>36</v>
      </c>
      <c r="T76">
        <v>3.4</v>
      </c>
      <c r="U76">
        <v>5</v>
      </c>
      <c r="V76" s="1">
        <v>43515</v>
      </c>
      <c r="W76">
        <v>15</v>
      </c>
      <c r="X76" t="str">
        <f>INDEX(Position!B:B,MATCH(Table1[[#This Row],[Position ID]],Position!A:A, 0 ))</f>
        <v>Production Technician I</v>
      </c>
      <c r="Y76" t="str">
        <f>INDEX(Department!B:B,MATCH(Table1[[#This Row],[Department ID]],Department!A:A,0))</f>
        <v>Production</v>
      </c>
      <c r="Z76" t="str">
        <f>INDEX(Manager!B:B,MATCH(Table1[[#This Row],[Manger ID]],Manager!A:A,0))</f>
        <v>David Stanley</v>
      </c>
      <c r="AA76">
        <f ca="1">DATEDIF(Table1[[#This Row],[DOB]],TODAY(), "Y")</f>
        <v>37</v>
      </c>
      <c r="AB76" t="str">
        <f ca="1">IF(Table1[[#This Row],[ Age]]&lt;18,"Less than 18",IF(Table1[[#This Row],[ Age]]&lt;=29,"18-29",IF(Table1[[#This Row],[ Age]]&lt;=49,"30-49",IF(Table1[[#This Row],[ Age]]&lt;=59,"50-59","60 or more"))))</f>
        <v>30-49</v>
      </c>
      <c r="AC76" s="8">
        <f ca="1">IF(ISBLANK(Table1[[#This Row],[DateofTermination]]),DATEDIF(Table1[[#This Row],[DateofHire]],TODAY(), "M"),DATEDIF(Table1[[#This Row],[DateofHire]],Table1[[#This Row],[DateofTermination]],"M"))/12</f>
        <v>12</v>
      </c>
      <c r="AD76" t="str">
        <f>IF(Table1[[#This Row],[EmpSatisfaction]]=1,"Very Dissatisfied", IF(Table1[[#This Row],[EmpSatisfaction]] = 2, "Dissatisfied", IF(Table1[[#This Row],[EmpSatisfaction]]  = 3, "Neutral", IF(Table1[[#This Row],[EmpSatisfaction]] = 4, "Satisfied", IF(Table1[[#This Row],[EmpSatisfaction]]=5,"Very Satisfied", " ")))))</f>
        <v>Very Satisfied</v>
      </c>
      <c r="AE76">
        <f>YEAR(Table1[[#This Row],[DateofHire]])</f>
        <v>2012</v>
      </c>
      <c r="AF76" t="s">
        <v>25</v>
      </c>
    </row>
    <row r="77" spans="1:32" x14ac:dyDescent="0.3">
      <c r="A77" t="s">
        <v>170</v>
      </c>
      <c r="B77">
        <v>10133</v>
      </c>
      <c r="C77" t="s">
        <v>469</v>
      </c>
      <c r="D77" t="s">
        <v>488</v>
      </c>
      <c r="E77">
        <v>10250</v>
      </c>
      <c r="F77" s="1">
        <v>42009</v>
      </c>
      <c r="G77" s="7">
        <v>70621</v>
      </c>
      <c r="H77" t="s">
        <v>499</v>
      </c>
      <c r="I77" s="1">
        <v>32342</v>
      </c>
      <c r="J77" t="s">
        <v>31</v>
      </c>
      <c r="K77" t="s">
        <v>23</v>
      </c>
      <c r="L77" t="s">
        <v>24</v>
      </c>
      <c r="M77" t="s">
        <v>21</v>
      </c>
      <c r="N77">
        <v>2119</v>
      </c>
      <c r="P77" t="s">
        <v>512</v>
      </c>
      <c r="Q77" t="s">
        <v>25</v>
      </c>
      <c r="R77" t="s">
        <v>55</v>
      </c>
      <c r="S77" t="s">
        <v>36</v>
      </c>
      <c r="T77">
        <v>4.1100000000000003</v>
      </c>
      <c r="U77">
        <v>4</v>
      </c>
      <c r="V77" s="1">
        <v>43521</v>
      </c>
      <c r="W77">
        <v>16</v>
      </c>
      <c r="X77" t="str">
        <f>INDEX(Position!B:B,MATCH(Table1[[#This Row],[Position ID]],Position!A:A, 0 ))</f>
        <v>IT Support</v>
      </c>
      <c r="Y77" t="str">
        <f>INDEX(Department!B:B,MATCH(Table1[[#This Row],[Department ID]],Department!A:A,0))</f>
        <v>IT/IS</v>
      </c>
      <c r="Z77" t="str">
        <f>INDEX(Manager!B:B,MATCH(Table1[[#This Row],[Manger ID]],Manager!A:A,0))</f>
        <v>Peter Monroe</v>
      </c>
      <c r="AA77">
        <f ca="1">DATEDIF(Table1[[#This Row],[DOB]],TODAY(), "Y")</f>
        <v>35</v>
      </c>
      <c r="AB77" t="str">
        <f ca="1">IF(Table1[[#This Row],[ Age]]&lt;18,"Less than 18",IF(Table1[[#This Row],[ Age]]&lt;=29,"18-29",IF(Table1[[#This Row],[ Age]]&lt;=49,"30-49",IF(Table1[[#This Row],[ Age]]&lt;=59,"50-59","60 or more"))))</f>
        <v>30-49</v>
      </c>
      <c r="AC77" s="8">
        <f ca="1">IF(ISBLANK(Table1[[#This Row],[DateofTermination]]),DATEDIF(Table1[[#This Row],[DateofHire]],TODAY(), "M"),DATEDIF(Table1[[#This Row],[DateofHire]],Table1[[#This Row],[DateofTermination]],"M"))/12</f>
        <v>9.25</v>
      </c>
      <c r="AD77" t="str">
        <f>IF(Table1[[#This Row],[EmpSatisfaction]]=1,"Very Dissatisfied", IF(Table1[[#This Row],[EmpSatisfaction]] = 2, "Dissatisfied", IF(Table1[[#This Row],[EmpSatisfaction]]  = 3, "Neutral", IF(Table1[[#This Row],[EmpSatisfaction]] = 4, "Satisfied", IF(Table1[[#This Row],[EmpSatisfaction]]=5,"Very Satisfied", " ")))))</f>
        <v>Satisfied</v>
      </c>
      <c r="AE77">
        <f>YEAR(Table1[[#This Row],[DateofHire]])</f>
        <v>2015</v>
      </c>
      <c r="AF77" t="s">
        <v>25</v>
      </c>
    </row>
    <row r="78" spans="1:32" x14ac:dyDescent="0.3">
      <c r="A78" t="s">
        <v>171</v>
      </c>
      <c r="B78">
        <v>10028</v>
      </c>
      <c r="C78" t="s">
        <v>468</v>
      </c>
      <c r="D78" t="s">
        <v>488</v>
      </c>
      <c r="E78">
        <v>10150</v>
      </c>
      <c r="F78" s="1">
        <v>41644</v>
      </c>
      <c r="G78" s="7">
        <v>138888</v>
      </c>
      <c r="H78" t="s">
        <v>498</v>
      </c>
      <c r="I78" s="1">
        <v>25758</v>
      </c>
      <c r="J78" t="s">
        <v>22</v>
      </c>
      <c r="K78" t="s">
        <v>23</v>
      </c>
      <c r="L78" t="s">
        <v>57</v>
      </c>
      <c r="M78" t="s">
        <v>21</v>
      </c>
      <c r="N78">
        <v>1886</v>
      </c>
      <c r="P78" t="s">
        <v>512</v>
      </c>
      <c r="Q78" t="s">
        <v>25</v>
      </c>
      <c r="R78" t="s">
        <v>35</v>
      </c>
      <c r="S78" t="s">
        <v>28</v>
      </c>
      <c r="T78">
        <v>4.3</v>
      </c>
      <c r="U78">
        <v>5</v>
      </c>
      <c r="V78" s="1">
        <v>43469</v>
      </c>
      <c r="W78">
        <v>4</v>
      </c>
      <c r="X78" t="str">
        <f>INDEX(Position!B:B,MATCH(Table1[[#This Row],[Position ID]],Position!A:A, 0 ))</f>
        <v>IT Manager - Support</v>
      </c>
      <c r="Y78" t="str">
        <f>INDEX(Department!B:B,MATCH(Table1[[#This Row],[Department ID]],Department!A:A,0))</f>
        <v>IT/IS</v>
      </c>
      <c r="Z78" t="str">
        <f>INDEX(Manager!B:B,MATCH(Table1[[#This Row],[Manger ID]],Manager!A:A,0))</f>
        <v>Jennifer Zamora</v>
      </c>
      <c r="AA78">
        <f ca="1">DATEDIF(Table1[[#This Row],[DOB]],TODAY(), "Y")</f>
        <v>53</v>
      </c>
      <c r="AB78" t="str">
        <f ca="1">IF(Table1[[#This Row],[ Age]]&lt;18,"Less than 18",IF(Table1[[#This Row],[ Age]]&lt;=29,"18-29",IF(Table1[[#This Row],[ Age]]&lt;=49,"30-49",IF(Table1[[#This Row],[ Age]]&lt;=59,"50-59","60 or more"))))</f>
        <v>50-59</v>
      </c>
      <c r="AC78" s="8">
        <f ca="1">IF(ISBLANK(Table1[[#This Row],[DateofTermination]]),DATEDIF(Table1[[#This Row],[DateofHire]],TODAY(), "M"),DATEDIF(Table1[[#This Row],[DateofHire]],Table1[[#This Row],[DateofTermination]],"M"))/12</f>
        <v>10.25</v>
      </c>
      <c r="AD78" t="str">
        <f>IF(Table1[[#This Row],[EmpSatisfaction]]=1,"Very Dissatisfied", IF(Table1[[#This Row],[EmpSatisfaction]] = 2, "Dissatisfied", IF(Table1[[#This Row],[EmpSatisfaction]]  = 3, "Neutral", IF(Table1[[#This Row],[EmpSatisfaction]] = 4, "Satisfied", IF(Table1[[#This Row],[EmpSatisfaction]]=5,"Very Satisfied", " ")))))</f>
        <v>Very Satisfied</v>
      </c>
      <c r="AE78">
        <f>YEAR(Table1[[#This Row],[DateofHire]])</f>
        <v>2014</v>
      </c>
      <c r="AF78" t="s">
        <v>25</v>
      </c>
    </row>
    <row r="79" spans="1:32" x14ac:dyDescent="0.3">
      <c r="A79" t="s">
        <v>173</v>
      </c>
      <c r="B79">
        <v>10006</v>
      </c>
      <c r="C79" t="s">
        <v>454</v>
      </c>
      <c r="D79" t="s">
        <v>490</v>
      </c>
      <c r="E79">
        <v>10200</v>
      </c>
      <c r="F79" s="1">
        <v>40553</v>
      </c>
      <c r="G79" s="7">
        <v>74241</v>
      </c>
      <c r="H79" t="s">
        <v>499</v>
      </c>
      <c r="I79" s="1">
        <v>32455</v>
      </c>
      <c r="J79" t="s">
        <v>22</v>
      </c>
      <c r="K79" t="s">
        <v>23</v>
      </c>
      <c r="L79" t="s">
        <v>24</v>
      </c>
      <c r="M79" t="s">
        <v>174</v>
      </c>
      <c r="N79">
        <v>90007</v>
      </c>
      <c r="P79" t="s">
        <v>512</v>
      </c>
      <c r="Q79" t="s">
        <v>25</v>
      </c>
      <c r="R79" t="s">
        <v>35</v>
      </c>
      <c r="S79" t="s">
        <v>28</v>
      </c>
      <c r="T79">
        <v>4.7699999999999996</v>
      </c>
      <c r="U79">
        <v>5</v>
      </c>
      <c r="V79" s="1">
        <v>43492</v>
      </c>
      <c r="W79">
        <v>14</v>
      </c>
      <c r="X79" t="str">
        <f>INDEX(Position!B:B,MATCH(Table1[[#This Row],[Position ID]],Position!A:A, 0 ))</f>
        <v>Area Sales Manager</v>
      </c>
      <c r="Y79" t="str">
        <f>INDEX(Department!B:B,MATCH(Table1[[#This Row],[Department ID]],Department!A:A,0))</f>
        <v>Sales</v>
      </c>
      <c r="Z79" t="str">
        <f>INDEX(Manager!B:B,MATCH(Table1[[#This Row],[Manger ID]],Manager!A:A,0))</f>
        <v>Lynn Daneault</v>
      </c>
      <c r="AA79">
        <f ca="1">DATEDIF(Table1[[#This Row],[DOB]],TODAY(), "Y")</f>
        <v>35</v>
      </c>
      <c r="AB79" t="str">
        <f ca="1">IF(Table1[[#This Row],[ Age]]&lt;18,"Less than 18",IF(Table1[[#This Row],[ Age]]&lt;=29,"18-29",IF(Table1[[#This Row],[ Age]]&lt;=49,"30-49",IF(Table1[[#This Row],[ Age]]&lt;=59,"50-59","60 or more"))))</f>
        <v>30-49</v>
      </c>
      <c r="AC79" s="8">
        <f ca="1">IF(ISBLANK(Table1[[#This Row],[DateofTermination]]),DATEDIF(Table1[[#This Row],[DateofHire]],TODAY(), "M"),DATEDIF(Table1[[#This Row],[DateofHire]],Table1[[#This Row],[DateofTermination]],"M"))/12</f>
        <v>13.166666666666666</v>
      </c>
      <c r="AD79" t="str">
        <f>IF(Table1[[#This Row],[EmpSatisfaction]]=1,"Very Dissatisfied", IF(Table1[[#This Row],[EmpSatisfaction]] = 2, "Dissatisfied", IF(Table1[[#This Row],[EmpSatisfaction]]  = 3, "Neutral", IF(Table1[[#This Row],[EmpSatisfaction]] = 4, "Satisfied", IF(Table1[[#This Row],[EmpSatisfaction]]=5,"Very Satisfied", " ")))))</f>
        <v>Very Satisfied</v>
      </c>
      <c r="AE79">
        <f>YEAR(Table1[[#This Row],[DateofHire]])</f>
        <v>2011</v>
      </c>
      <c r="AF79" t="s">
        <v>25</v>
      </c>
    </row>
    <row r="80" spans="1:32" x14ac:dyDescent="0.3">
      <c r="A80" t="s">
        <v>175</v>
      </c>
      <c r="B80">
        <v>10105</v>
      </c>
      <c r="C80" t="s">
        <v>473</v>
      </c>
      <c r="D80" t="s">
        <v>489</v>
      </c>
      <c r="E80">
        <v>10175</v>
      </c>
      <c r="F80" s="1">
        <v>41900</v>
      </c>
      <c r="G80" s="7">
        <v>75188</v>
      </c>
      <c r="H80" t="s">
        <v>499</v>
      </c>
      <c r="I80" s="1">
        <v>26996</v>
      </c>
      <c r="J80" t="s">
        <v>22</v>
      </c>
      <c r="K80" t="s">
        <v>23</v>
      </c>
      <c r="L80" t="s">
        <v>24</v>
      </c>
      <c r="M80" t="s">
        <v>21</v>
      </c>
      <c r="N80">
        <v>1731</v>
      </c>
      <c r="P80" t="s">
        <v>512</v>
      </c>
      <c r="Q80" t="s">
        <v>25</v>
      </c>
      <c r="R80" t="s">
        <v>45</v>
      </c>
      <c r="S80" t="s">
        <v>36</v>
      </c>
      <c r="T80">
        <v>4.5199999999999996</v>
      </c>
      <c r="U80">
        <v>4</v>
      </c>
      <c r="V80" s="1">
        <v>43480</v>
      </c>
      <c r="W80">
        <v>4</v>
      </c>
      <c r="X80" t="str">
        <f>INDEX(Position!B:B,MATCH(Table1[[#This Row],[Position ID]],Position!A:A, 0 ))</f>
        <v>Production Manager</v>
      </c>
      <c r="Y80" t="str">
        <f>INDEX(Department!B:B,MATCH(Table1[[#This Row],[Department ID]],Department!A:A,0))</f>
        <v>Production</v>
      </c>
      <c r="Z80" t="str">
        <f>INDEX(Manager!B:B,MATCH(Table1[[#This Row],[Manger ID]],Manager!A:A,0))</f>
        <v>Janet King</v>
      </c>
      <c r="AA80">
        <f ca="1">DATEDIF(Table1[[#This Row],[DOB]],TODAY(), "Y")</f>
        <v>50</v>
      </c>
      <c r="AB80" t="str">
        <f ca="1">IF(Table1[[#This Row],[ Age]]&lt;18,"Less than 18",IF(Table1[[#This Row],[ Age]]&lt;=29,"18-29",IF(Table1[[#This Row],[ Age]]&lt;=49,"30-49",IF(Table1[[#This Row],[ Age]]&lt;=59,"50-59","60 or more"))))</f>
        <v>50-59</v>
      </c>
      <c r="AC80" s="8">
        <f ca="1">IF(ISBLANK(Table1[[#This Row],[DateofTermination]]),DATEDIF(Table1[[#This Row],[DateofHire]],TODAY(), "M"),DATEDIF(Table1[[#This Row],[DateofHire]],Table1[[#This Row],[DateofTermination]],"M"))/12</f>
        <v>9.5</v>
      </c>
      <c r="AD80" t="str">
        <f>IF(Table1[[#This Row],[EmpSatisfaction]]=1,"Very Dissatisfied", IF(Table1[[#This Row],[EmpSatisfaction]] = 2, "Dissatisfied", IF(Table1[[#This Row],[EmpSatisfaction]]  = 3, "Neutral", IF(Table1[[#This Row],[EmpSatisfaction]] = 4, "Satisfied", IF(Table1[[#This Row],[EmpSatisfaction]]=5,"Very Satisfied", " ")))))</f>
        <v>Satisfied</v>
      </c>
      <c r="AE80">
        <f>YEAR(Table1[[#This Row],[DateofHire]])</f>
        <v>2014</v>
      </c>
      <c r="AF80" t="s">
        <v>25</v>
      </c>
    </row>
    <row r="81" spans="1:32" x14ac:dyDescent="0.3">
      <c r="A81" t="s">
        <v>176</v>
      </c>
      <c r="B81">
        <v>10211</v>
      </c>
      <c r="C81" t="s">
        <v>474</v>
      </c>
      <c r="D81" t="s">
        <v>489</v>
      </c>
      <c r="E81">
        <v>10062</v>
      </c>
      <c r="F81" s="1">
        <v>40294</v>
      </c>
      <c r="G81" s="7">
        <v>62514</v>
      </c>
      <c r="H81" t="s">
        <v>499</v>
      </c>
      <c r="I81" s="1">
        <v>26930</v>
      </c>
      <c r="J81" t="s">
        <v>31</v>
      </c>
      <c r="K81" t="s">
        <v>23</v>
      </c>
      <c r="L81" t="s">
        <v>24</v>
      </c>
      <c r="M81" t="s">
        <v>21</v>
      </c>
      <c r="N81">
        <v>1749</v>
      </c>
      <c r="P81" t="s">
        <v>512</v>
      </c>
      <c r="Q81" t="s">
        <v>25</v>
      </c>
      <c r="R81" t="s">
        <v>45</v>
      </c>
      <c r="S81" t="s">
        <v>36</v>
      </c>
      <c r="T81">
        <v>2.9</v>
      </c>
      <c r="U81">
        <v>3</v>
      </c>
      <c r="V81" s="1">
        <v>43486</v>
      </c>
      <c r="W81">
        <v>6</v>
      </c>
      <c r="X81" t="str">
        <f>INDEX(Position!B:B,MATCH(Table1[[#This Row],[Position ID]],Position!A:A, 0 ))</f>
        <v>Production Technician I</v>
      </c>
      <c r="Y81" t="str">
        <f>INDEX(Department!B:B,MATCH(Table1[[#This Row],[Department ID]],Department!A:A,0))</f>
        <v>Production</v>
      </c>
      <c r="Z81" t="str">
        <f>INDEX(Manager!B:B,MATCH(Table1[[#This Row],[Manger ID]],Manager!A:A,0))</f>
        <v>Ketsia Liebig</v>
      </c>
      <c r="AA81">
        <f ca="1">DATEDIF(Table1[[#This Row],[DOB]],TODAY(), "Y")</f>
        <v>50</v>
      </c>
      <c r="AB81" t="str">
        <f ca="1">IF(Table1[[#This Row],[ Age]]&lt;18,"Less than 18",IF(Table1[[#This Row],[ Age]]&lt;=29,"18-29",IF(Table1[[#This Row],[ Age]]&lt;=49,"30-49",IF(Table1[[#This Row],[ Age]]&lt;=59,"50-59","60 or more"))))</f>
        <v>50-59</v>
      </c>
      <c r="AC81" s="8">
        <f ca="1">IF(ISBLANK(Table1[[#This Row],[DateofTermination]]),DATEDIF(Table1[[#This Row],[DateofHire]],TODAY(), "M"),DATEDIF(Table1[[#This Row],[DateofHire]],Table1[[#This Row],[DateofTermination]],"M"))/12</f>
        <v>13.916666666666666</v>
      </c>
      <c r="AD81" t="str">
        <f>IF(Table1[[#This Row],[EmpSatisfaction]]=1,"Very Dissatisfied", IF(Table1[[#This Row],[EmpSatisfaction]] = 2, "Dissatisfied", IF(Table1[[#This Row],[EmpSatisfaction]]  = 3, "Neutral", IF(Table1[[#This Row],[EmpSatisfaction]] = 4, "Satisfied", IF(Table1[[#This Row],[EmpSatisfaction]]=5,"Very Satisfied", " ")))))</f>
        <v>Neutral</v>
      </c>
      <c r="AE81">
        <f>YEAR(Table1[[#This Row],[DateofHire]])</f>
        <v>2010</v>
      </c>
      <c r="AF81" t="s">
        <v>25</v>
      </c>
    </row>
    <row r="82" spans="1:32" hidden="1" x14ac:dyDescent="0.3">
      <c r="A82" t="s">
        <v>177</v>
      </c>
      <c r="B82">
        <v>10064</v>
      </c>
      <c r="C82" t="s">
        <v>474</v>
      </c>
      <c r="D82" t="s">
        <v>489</v>
      </c>
      <c r="E82">
        <v>10196</v>
      </c>
      <c r="F82" s="1">
        <v>40637</v>
      </c>
      <c r="G82" s="7">
        <v>60070</v>
      </c>
      <c r="H82" t="s">
        <v>499</v>
      </c>
      <c r="I82" s="1">
        <v>33486</v>
      </c>
      <c r="J82" t="s">
        <v>31</v>
      </c>
      <c r="K82" t="s">
        <v>23</v>
      </c>
      <c r="L82" t="s">
        <v>24</v>
      </c>
      <c r="M82" t="s">
        <v>21</v>
      </c>
      <c r="N82">
        <v>2343</v>
      </c>
      <c r="O82" s="1">
        <v>42892</v>
      </c>
      <c r="P82" t="s">
        <v>524</v>
      </c>
      <c r="Q82" t="s">
        <v>32</v>
      </c>
      <c r="R82" t="s">
        <v>45</v>
      </c>
      <c r="S82" t="s">
        <v>36</v>
      </c>
      <c r="T82">
        <v>5</v>
      </c>
      <c r="U82">
        <v>3</v>
      </c>
      <c r="V82" s="1">
        <v>42834</v>
      </c>
      <c r="W82">
        <v>7</v>
      </c>
      <c r="X82" t="str">
        <f>INDEX(Position!B:B,MATCH(Table1[[#This Row],[Position ID]],Position!A:A, 0 ))</f>
        <v>Production Technician I</v>
      </c>
      <c r="Y82" t="str">
        <f>INDEX(Department!B:B,MATCH(Table1[[#This Row],[Department ID]],Department!A:A,0))</f>
        <v>Production</v>
      </c>
      <c r="Z82" t="str">
        <f>INDEX(Manager!B:B,MATCH(Table1[[#This Row],[Manger ID]],Manager!A:A,0))</f>
        <v>Kissy Sullivan</v>
      </c>
      <c r="AA82">
        <f ca="1">DATEDIF(Table1[[#This Row],[DOB]],TODAY(), "Y")</f>
        <v>32</v>
      </c>
      <c r="AB82" t="str">
        <f ca="1">IF(Table1[[#This Row],[ Age]]&lt;18,"Less than 18",IF(Table1[[#This Row],[ Age]]&lt;=29,"18-29",IF(Table1[[#This Row],[ Age]]&lt;=49,"30-49",IF(Table1[[#This Row],[ Age]]&lt;=59,"50-59","60 or more"))))</f>
        <v>30-49</v>
      </c>
      <c r="AC82" s="8">
        <f ca="1">IF(ISBLANK(Table1[[#This Row],[DateofTermination]]),DATEDIF(Table1[[#This Row],[DateofHire]],TODAY(), "M"),DATEDIF(Table1[[#This Row],[DateofHire]],Table1[[#This Row],[DateofTermination]],"M"))/12</f>
        <v>6.166666666666667</v>
      </c>
      <c r="AD82" t="str">
        <f>IF(Table1[[#This Row],[EmpSatisfaction]]=1,"Very Dissatisfied", IF(Table1[[#This Row],[EmpSatisfaction]] = 2, "Dissatisfied", IF(Table1[[#This Row],[EmpSatisfaction]]  = 3, "Neutral", IF(Table1[[#This Row],[EmpSatisfaction]] = 4, "Satisfied", IF(Table1[[#This Row],[EmpSatisfaction]]=5,"Very Satisfied", " ")))))</f>
        <v>Neutral</v>
      </c>
      <c r="AE82">
        <f>YEAR(Table1[[#This Row],[DateofHire]])</f>
        <v>2011</v>
      </c>
      <c r="AF82" t="s">
        <v>535</v>
      </c>
    </row>
    <row r="83" spans="1:32" x14ac:dyDescent="0.3">
      <c r="A83" t="s">
        <v>178</v>
      </c>
      <c r="B83">
        <v>10247</v>
      </c>
      <c r="C83" t="s">
        <v>474</v>
      </c>
      <c r="D83" t="s">
        <v>489</v>
      </c>
      <c r="E83">
        <v>10265</v>
      </c>
      <c r="F83" s="1">
        <v>41953</v>
      </c>
      <c r="G83" s="7">
        <v>48888</v>
      </c>
      <c r="H83" t="s">
        <v>498</v>
      </c>
      <c r="I83" s="1">
        <v>27180</v>
      </c>
      <c r="J83" t="s">
        <v>22</v>
      </c>
      <c r="K83" t="s">
        <v>23</v>
      </c>
      <c r="L83" t="s">
        <v>24</v>
      </c>
      <c r="M83" t="s">
        <v>21</v>
      </c>
      <c r="N83">
        <v>2026</v>
      </c>
      <c r="P83" t="s">
        <v>512</v>
      </c>
      <c r="Q83" t="s">
        <v>25</v>
      </c>
      <c r="R83" t="s">
        <v>27</v>
      </c>
      <c r="S83" t="s">
        <v>36</v>
      </c>
      <c r="T83">
        <v>4.7</v>
      </c>
      <c r="U83">
        <v>5</v>
      </c>
      <c r="V83" s="1">
        <v>43509</v>
      </c>
      <c r="W83">
        <v>8</v>
      </c>
      <c r="X83" t="str">
        <f>INDEX(Position!B:B,MATCH(Table1[[#This Row],[Position ID]],Position!A:A, 0 ))</f>
        <v>Production Technician I</v>
      </c>
      <c r="Y83" t="str">
        <f>INDEX(Department!B:B,MATCH(Table1[[#This Row],[Department ID]],Department!A:A,0))</f>
        <v>Production</v>
      </c>
      <c r="Z83" t="str">
        <f>INDEX(Manager!B:B,MATCH(Table1[[#This Row],[Manger ID]],Manager!A:A,0))</f>
        <v>Kelley Spirea</v>
      </c>
      <c r="AA83">
        <f ca="1">DATEDIF(Table1[[#This Row],[DOB]],TODAY(), "Y")</f>
        <v>49</v>
      </c>
      <c r="AB83" t="str">
        <f ca="1">IF(Table1[[#This Row],[ Age]]&lt;18,"Less than 18",IF(Table1[[#This Row],[ Age]]&lt;=29,"18-29",IF(Table1[[#This Row],[ Age]]&lt;=49,"30-49",IF(Table1[[#This Row],[ Age]]&lt;=59,"50-59","60 or more"))))</f>
        <v>30-49</v>
      </c>
      <c r="AC83" s="8">
        <f ca="1">IF(ISBLANK(Table1[[#This Row],[DateofTermination]]),DATEDIF(Table1[[#This Row],[DateofHire]],TODAY(), "M"),DATEDIF(Table1[[#This Row],[DateofHire]],Table1[[#This Row],[DateofTermination]],"M"))/12</f>
        <v>9.3333333333333339</v>
      </c>
      <c r="AD83" t="str">
        <f>IF(Table1[[#This Row],[EmpSatisfaction]]=1,"Very Dissatisfied", IF(Table1[[#This Row],[EmpSatisfaction]] = 2, "Dissatisfied", IF(Table1[[#This Row],[EmpSatisfaction]]  = 3, "Neutral", IF(Table1[[#This Row],[EmpSatisfaction]] = 4, "Satisfied", IF(Table1[[#This Row],[EmpSatisfaction]]=5,"Very Satisfied", " ")))))</f>
        <v>Very Satisfied</v>
      </c>
      <c r="AE83">
        <f>YEAR(Table1[[#This Row],[DateofHire]])</f>
        <v>2014</v>
      </c>
      <c r="AF83" t="s">
        <v>25</v>
      </c>
    </row>
    <row r="84" spans="1:32" x14ac:dyDescent="0.3">
      <c r="A84" t="s">
        <v>179</v>
      </c>
      <c r="B84">
        <v>10235</v>
      </c>
      <c r="C84" t="s">
        <v>474</v>
      </c>
      <c r="D84" t="s">
        <v>489</v>
      </c>
      <c r="E84">
        <v>10265</v>
      </c>
      <c r="F84" s="1">
        <v>41729</v>
      </c>
      <c r="G84" s="7">
        <v>54285</v>
      </c>
      <c r="H84" t="s">
        <v>498</v>
      </c>
      <c r="I84" s="1">
        <v>28727</v>
      </c>
      <c r="J84" t="s">
        <v>31</v>
      </c>
      <c r="K84" t="s">
        <v>23</v>
      </c>
      <c r="L84" t="s">
        <v>24</v>
      </c>
      <c r="M84" t="s">
        <v>21</v>
      </c>
      <c r="N84">
        <v>2045</v>
      </c>
      <c r="P84" t="s">
        <v>512</v>
      </c>
      <c r="Q84" t="s">
        <v>25</v>
      </c>
      <c r="R84" t="s">
        <v>55</v>
      </c>
      <c r="S84" t="s">
        <v>36</v>
      </c>
      <c r="T84">
        <v>4.2</v>
      </c>
      <c r="U84">
        <v>3</v>
      </c>
      <c r="V84" s="1">
        <v>43476</v>
      </c>
      <c r="W84">
        <v>3</v>
      </c>
      <c r="X84" t="str">
        <f>INDEX(Position!B:B,MATCH(Table1[[#This Row],[Position ID]],Position!A:A, 0 ))</f>
        <v>Production Technician I</v>
      </c>
      <c r="Y84" t="str">
        <f>INDEX(Department!B:B,MATCH(Table1[[#This Row],[Department ID]],Department!A:A,0))</f>
        <v>Production</v>
      </c>
      <c r="Z84" t="str">
        <f>INDEX(Manager!B:B,MATCH(Table1[[#This Row],[Manger ID]],Manager!A:A,0))</f>
        <v>Kelley Spirea</v>
      </c>
      <c r="AA84">
        <f ca="1">DATEDIF(Table1[[#This Row],[DOB]],TODAY(), "Y")</f>
        <v>45</v>
      </c>
      <c r="AB84" t="str">
        <f ca="1">IF(Table1[[#This Row],[ Age]]&lt;18,"Less than 18",IF(Table1[[#This Row],[ Age]]&lt;=29,"18-29",IF(Table1[[#This Row],[ Age]]&lt;=49,"30-49",IF(Table1[[#This Row],[ Age]]&lt;=59,"50-59","60 or more"))))</f>
        <v>30-49</v>
      </c>
      <c r="AC84" s="8">
        <f ca="1">IF(ISBLANK(Table1[[#This Row],[DateofTermination]]),DATEDIF(Table1[[#This Row],[DateofHire]],TODAY(), "M"),DATEDIF(Table1[[#This Row],[DateofHire]],Table1[[#This Row],[DateofTermination]],"M"))/12</f>
        <v>10</v>
      </c>
      <c r="AD84" t="str">
        <f>IF(Table1[[#This Row],[EmpSatisfaction]]=1,"Very Dissatisfied", IF(Table1[[#This Row],[EmpSatisfaction]] = 2, "Dissatisfied", IF(Table1[[#This Row],[EmpSatisfaction]]  = 3, "Neutral", IF(Table1[[#This Row],[EmpSatisfaction]] = 4, "Satisfied", IF(Table1[[#This Row],[EmpSatisfaction]]=5,"Very Satisfied", " ")))))</f>
        <v>Neutral</v>
      </c>
      <c r="AE84">
        <f>YEAR(Table1[[#This Row],[DateofHire]])</f>
        <v>2014</v>
      </c>
      <c r="AF84" t="s">
        <v>25</v>
      </c>
    </row>
    <row r="85" spans="1:32" x14ac:dyDescent="0.3">
      <c r="A85" t="s">
        <v>180</v>
      </c>
      <c r="B85">
        <v>10299</v>
      </c>
      <c r="C85" t="s">
        <v>475</v>
      </c>
      <c r="D85" t="s">
        <v>489</v>
      </c>
      <c r="E85">
        <v>10026</v>
      </c>
      <c r="F85" s="1">
        <v>41827</v>
      </c>
      <c r="G85" s="7">
        <v>56847</v>
      </c>
      <c r="H85" t="s">
        <v>499</v>
      </c>
      <c r="I85" s="1">
        <v>32745</v>
      </c>
      <c r="J85" t="s">
        <v>105</v>
      </c>
      <c r="K85" t="s">
        <v>23</v>
      </c>
      <c r="L85" t="s">
        <v>24</v>
      </c>
      <c r="M85" t="s">
        <v>21</v>
      </c>
      <c r="N85">
        <v>2133</v>
      </c>
      <c r="P85" t="s">
        <v>512</v>
      </c>
      <c r="Q85" t="s">
        <v>25</v>
      </c>
      <c r="R85" t="s">
        <v>35</v>
      </c>
      <c r="S85" t="s">
        <v>158</v>
      </c>
      <c r="T85">
        <v>3</v>
      </c>
      <c r="U85">
        <v>1</v>
      </c>
      <c r="V85" s="1">
        <v>43521</v>
      </c>
      <c r="W85">
        <v>5</v>
      </c>
      <c r="X85" t="str">
        <f>INDEX(Position!B:B,MATCH(Table1[[#This Row],[Position ID]],Position!A:A, 0 ))</f>
        <v>Production Technician II</v>
      </c>
      <c r="Y85" t="str">
        <f>INDEX(Department!B:B,MATCH(Table1[[#This Row],[Department ID]],Department!A:A,0))</f>
        <v>Production</v>
      </c>
      <c r="Z85" t="str">
        <f>INDEX(Manager!B:B,MATCH(Table1[[#This Row],[Manger ID]],Manager!A:A,0))</f>
        <v>Michael Albert</v>
      </c>
      <c r="AA85">
        <f ca="1">DATEDIF(Table1[[#This Row],[DOB]],TODAY(), "Y")</f>
        <v>34</v>
      </c>
      <c r="AB85" t="str">
        <f ca="1">IF(Table1[[#This Row],[ Age]]&lt;18,"Less than 18",IF(Table1[[#This Row],[ Age]]&lt;=29,"18-29",IF(Table1[[#This Row],[ Age]]&lt;=49,"30-49",IF(Table1[[#This Row],[ Age]]&lt;=59,"50-59","60 or more"))))</f>
        <v>30-49</v>
      </c>
      <c r="AC85" s="8">
        <f ca="1">IF(ISBLANK(Table1[[#This Row],[DateofTermination]]),DATEDIF(Table1[[#This Row],[DateofHire]],TODAY(), "M"),DATEDIF(Table1[[#This Row],[DateofHire]],Table1[[#This Row],[DateofTermination]],"M"))/12</f>
        <v>9.75</v>
      </c>
      <c r="AD85" t="str">
        <f>IF(Table1[[#This Row],[EmpSatisfaction]]=1,"Very Dissatisfied", IF(Table1[[#This Row],[EmpSatisfaction]] = 2, "Dissatisfied", IF(Table1[[#This Row],[EmpSatisfaction]]  = 3, "Neutral", IF(Table1[[#This Row],[EmpSatisfaction]] = 4, "Satisfied", IF(Table1[[#This Row],[EmpSatisfaction]]=5,"Very Satisfied", " ")))))</f>
        <v>Very Dissatisfied</v>
      </c>
      <c r="AE85">
        <f>YEAR(Table1[[#This Row],[DateofHire]])</f>
        <v>2014</v>
      </c>
      <c r="AF85" t="s">
        <v>25</v>
      </c>
    </row>
    <row r="86" spans="1:32" hidden="1" x14ac:dyDescent="0.3">
      <c r="A86" t="s">
        <v>181</v>
      </c>
      <c r="B86">
        <v>10280</v>
      </c>
      <c r="C86" t="s">
        <v>474</v>
      </c>
      <c r="D86" t="s">
        <v>489</v>
      </c>
      <c r="E86">
        <v>10026</v>
      </c>
      <c r="F86" s="1">
        <v>41001</v>
      </c>
      <c r="G86" s="7">
        <v>60340</v>
      </c>
      <c r="H86" t="s">
        <v>498</v>
      </c>
      <c r="I86" s="1">
        <v>30561</v>
      </c>
      <c r="J86" t="s">
        <v>22</v>
      </c>
      <c r="K86" t="s">
        <v>23</v>
      </c>
      <c r="L86" t="s">
        <v>24</v>
      </c>
      <c r="M86" t="s">
        <v>21</v>
      </c>
      <c r="N86">
        <v>2129</v>
      </c>
      <c r="O86" s="1">
        <v>43370</v>
      </c>
      <c r="P86" t="s">
        <v>518</v>
      </c>
      <c r="Q86" t="s">
        <v>75</v>
      </c>
      <c r="R86" t="s">
        <v>45</v>
      </c>
      <c r="S86" t="s">
        <v>88</v>
      </c>
      <c r="T86">
        <v>5</v>
      </c>
      <c r="U86">
        <v>4</v>
      </c>
      <c r="V86" s="1">
        <v>43202</v>
      </c>
      <c r="W86">
        <v>16</v>
      </c>
      <c r="X86" t="str">
        <f>INDEX(Position!B:B,MATCH(Table1[[#This Row],[Position ID]],Position!A:A, 0 ))</f>
        <v>Production Technician I</v>
      </c>
      <c r="Y86" t="str">
        <f>INDEX(Department!B:B,MATCH(Table1[[#This Row],[Department ID]],Department!A:A,0))</f>
        <v>Production</v>
      </c>
      <c r="Z86" t="str">
        <f>INDEX(Manager!B:B,MATCH(Table1[[#This Row],[Manger ID]],Manager!A:A,0))</f>
        <v>Michael Albert</v>
      </c>
      <c r="AA86">
        <f ca="1">DATEDIF(Table1[[#This Row],[DOB]],TODAY(), "Y")</f>
        <v>40</v>
      </c>
      <c r="AB86" t="str">
        <f ca="1">IF(Table1[[#This Row],[ Age]]&lt;18,"Less than 18",IF(Table1[[#This Row],[ Age]]&lt;=29,"18-29",IF(Table1[[#This Row],[ Age]]&lt;=49,"30-49",IF(Table1[[#This Row],[ Age]]&lt;=59,"50-59","60 or more"))))</f>
        <v>30-49</v>
      </c>
      <c r="AC86" s="8">
        <f ca="1">IF(ISBLANK(Table1[[#This Row],[DateofTermination]]),DATEDIF(Table1[[#This Row],[DateofHire]],TODAY(), "M"),DATEDIF(Table1[[#This Row],[DateofHire]],Table1[[#This Row],[DateofTermination]],"M"))/12</f>
        <v>6.416666666666667</v>
      </c>
      <c r="AD86" t="str">
        <f>IF(Table1[[#This Row],[EmpSatisfaction]]=1,"Very Dissatisfied", IF(Table1[[#This Row],[EmpSatisfaction]] = 2, "Dissatisfied", IF(Table1[[#This Row],[EmpSatisfaction]]  = 3, "Neutral", IF(Table1[[#This Row],[EmpSatisfaction]] = 4, "Satisfied", IF(Table1[[#This Row],[EmpSatisfaction]]=5,"Very Satisfied", " ")))))</f>
        <v>Satisfied</v>
      </c>
      <c r="AE86">
        <f>YEAR(Table1[[#This Row],[DateofHire]])</f>
        <v>2012</v>
      </c>
      <c r="AF86" t="s">
        <v>535</v>
      </c>
    </row>
    <row r="87" spans="1:32" hidden="1" x14ac:dyDescent="0.3">
      <c r="A87" t="s">
        <v>182</v>
      </c>
      <c r="B87">
        <v>10296</v>
      </c>
      <c r="C87" t="s">
        <v>474</v>
      </c>
      <c r="D87" t="s">
        <v>489</v>
      </c>
      <c r="E87">
        <v>10088</v>
      </c>
      <c r="F87" s="1">
        <v>41687</v>
      </c>
      <c r="G87" s="7">
        <v>59124</v>
      </c>
      <c r="H87" t="s">
        <v>499</v>
      </c>
      <c r="I87" s="1">
        <v>32634</v>
      </c>
      <c r="J87" t="s">
        <v>22</v>
      </c>
      <c r="K87" t="s">
        <v>23</v>
      </c>
      <c r="L87" t="s">
        <v>24</v>
      </c>
      <c r="M87" t="s">
        <v>21</v>
      </c>
      <c r="N87">
        <v>2458</v>
      </c>
      <c r="O87" s="1">
        <v>43156</v>
      </c>
      <c r="P87" t="s">
        <v>525</v>
      </c>
      <c r="Q87" t="s">
        <v>75</v>
      </c>
      <c r="R87" t="s">
        <v>45</v>
      </c>
      <c r="S87" t="s">
        <v>88</v>
      </c>
      <c r="T87">
        <v>2.2999999999999998</v>
      </c>
      <c r="U87">
        <v>3</v>
      </c>
      <c r="V87" s="1">
        <v>42750</v>
      </c>
      <c r="W87">
        <v>19</v>
      </c>
      <c r="X87" t="str">
        <f>INDEX(Position!B:B,MATCH(Table1[[#This Row],[Position ID]],Position!A:A, 0 ))</f>
        <v>Production Technician I</v>
      </c>
      <c r="Y87" t="str">
        <f>INDEX(Department!B:B,MATCH(Table1[[#This Row],[Department ID]],Department!A:A,0))</f>
        <v>Production</v>
      </c>
      <c r="Z87" t="str">
        <f>INDEX(Manager!B:B,MATCH(Table1[[#This Row],[Manger ID]],Manager!A:A,0))</f>
        <v>Elijiah Gray</v>
      </c>
      <c r="AA87">
        <f ca="1">DATEDIF(Table1[[#This Row],[DOB]],TODAY(), "Y")</f>
        <v>34</v>
      </c>
      <c r="AB87" t="str">
        <f ca="1">IF(Table1[[#This Row],[ Age]]&lt;18,"Less than 18",IF(Table1[[#This Row],[ Age]]&lt;=29,"18-29",IF(Table1[[#This Row],[ Age]]&lt;=49,"30-49",IF(Table1[[#This Row],[ Age]]&lt;=59,"50-59","60 or more"))))</f>
        <v>30-49</v>
      </c>
      <c r="AC87" s="8">
        <f ca="1">IF(ISBLANK(Table1[[#This Row],[DateofTermination]]),DATEDIF(Table1[[#This Row],[DateofHire]],TODAY(), "M"),DATEDIF(Table1[[#This Row],[DateofHire]],Table1[[#This Row],[DateofTermination]],"M"))/12</f>
        <v>4</v>
      </c>
      <c r="AD87" t="str">
        <f>IF(Table1[[#This Row],[EmpSatisfaction]]=1,"Very Dissatisfied", IF(Table1[[#This Row],[EmpSatisfaction]] = 2, "Dissatisfied", IF(Table1[[#This Row],[EmpSatisfaction]]  = 3, "Neutral", IF(Table1[[#This Row],[EmpSatisfaction]] = 4, "Satisfied", IF(Table1[[#This Row],[EmpSatisfaction]]=5,"Very Satisfied", " ")))))</f>
        <v>Neutral</v>
      </c>
      <c r="AE87">
        <f>YEAR(Table1[[#This Row],[DateofHire]])</f>
        <v>2014</v>
      </c>
      <c r="AF87" t="s">
        <v>535</v>
      </c>
    </row>
    <row r="88" spans="1:32" hidden="1" x14ac:dyDescent="0.3">
      <c r="A88" t="s">
        <v>183</v>
      </c>
      <c r="B88">
        <v>10290</v>
      </c>
      <c r="C88" t="s">
        <v>479</v>
      </c>
      <c r="D88" t="s">
        <v>491</v>
      </c>
      <c r="E88">
        <v>10194</v>
      </c>
      <c r="F88" s="1">
        <v>40665</v>
      </c>
      <c r="G88" s="7">
        <v>99280</v>
      </c>
      <c r="H88" t="s">
        <v>499</v>
      </c>
      <c r="I88" s="1">
        <v>31912</v>
      </c>
      <c r="J88" t="s">
        <v>31</v>
      </c>
      <c r="K88" t="s">
        <v>23</v>
      </c>
      <c r="L88" t="s">
        <v>57</v>
      </c>
      <c r="M88" t="s">
        <v>21</v>
      </c>
      <c r="N88">
        <v>1749</v>
      </c>
      <c r="O88" s="1">
        <v>41430</v>
      </c>
      <c r="P88" t="s">
        <v>518</v>
      </c>
      <c r="Q88" t="s">
        <v>75</v>
      </c>
      <c r="R88" t="s">
        <v>35</v>
      </c>
      <c r="S88" t="s">
        <v>88</v>
      </c>
      <c r="T88">
        <v>2.1</v>
      </c>
      <c r="U88">
        <v>5</v>
      </c>
      <c r="V88" s="1">
        <v>41131</v>
      </c>
      <c r="W88">
        <v>19</v>
      </c>
      <c r="X88" t="str">
        <f>INDEX(Position!B:B,MATCH(Table1[[#This Row],[Position ID]],Position!A:A, 0 ))</f>
        <v>Software Engineer</v>
      </c>
      <c r="Y88" t="str">
        <f>INDEX(Department!B:B,MATCH(Table1[[#This Row],[Department ID]],Department!A:A,0))</f>
        <v>Software Engineering</v>
      </c>
      <c r="Z88" t="str">
        <f>INDEX(Manager!B:B,MATCH(Table1[[#This Row],[Manger ID]],Manager!A:A,0))</f>
        <v>Alex Sweetwater</v>
      </c>
      <c r="AA88">
        <f ca="1">DATEDIF(Table1[[#This Row],[DOB]],TODAY(), "Y")</f>
        <v>36</v>
      </c>
      <c r="AB88" t="str">
        <f ca="1">IF(Table1[[#This Row],[ Age]]&lt;18,"Less than 18",IF(Table1[[#This Row],[ Age]]&lt;=29,"18-29",IF(Table1[[#This Row],[ Age]]&lt;=49,"30-49",IF(Table1[[#This Row],[ Age]]&lt;=59,"50-59","60 or more"))))</f>
        <v>30-49</v>
      </c>
      <c r="AC88" s="8">
        <f ca="1">IF(ISBLANK(Table1[[#This Row],[DateofTermination]]),DATEDIF(Table1[[#This Row],[DateofHire]],TODAY(), "M"),DATEDIF(Table1[[#This Row],[DateofHire]],Table1[[#This Row],[DateofTermination]],"M"))/12</f>
        <v>2.0833333333333335</v>
      </c>
      <c r="AD88" t="str">
        <f>IF(Table1[[#This Row],[EmpSatisfaction]]=1,"Very Dissatisfied", IF(Table1[[#This Row],[EmpSatisfaction]] = 2, "Dissatisfied", IF(Table1[[#This Row],[EmpSatisfaction]]  = 3, "Neutral", IF(Table1[[#This Row],[EmpSatisfaction]] = 4, "Satisfied", IF(Table1[[#This Row],[EmpSatisfaction]]=5,"Very Satisfied", " ")))))</f>
        <v>Very Satisfied</v>
      </c>
      <c r="AE88">
        <f>YEAR(Table1[[#This Row],[DateofHire]])</f>
        <v>2011</v>
      </c>
      <c r="AF88" t="s">
        <v>535</v>
      </c>
    </row>
    <row r="89" spans="1:32" x14ac:dyDescent="0.3">
      <c r="A89" t="s">
        <v>184</v>
      </c>
      <c r="B89">
        <v>10263</v>
      </c>
      <c r="C89" t="s">
        <v>475</v>
      </c>
      <c r="D89" t="s">
        <v>489</v>
      </c>
      <c r="E89">
        <v>10088</v>
      </c>
      <c r="F89" s="1">
        <v>41827</v>
      </c>
      <c r="G89" s="7">
        <v>71776</v>
      </c>
      <c r="H89" t="s">
        <v>499</v>
      </c>
      <c r="I89" s="1">
        <v>28755</v>
      </c>
      <c r="J89" t="s">
        <v>31</v>
      </c>
      <c r="K89" t="s">
        <v>23</v>
      </c>
      <c r="L89" t="s">
        <v>57</v>
      </c>
      <c r="M89" t="s">
        <v>21</v>
      </c>
      <c r="N89">
        <v>1824</v>
      </c>
      <c r="P89" t="s">
        <v>512</v>
      </c>
      <c r="Q89" t="s">
        <v>25</v>
      </c>
      <c r="R89" t="s">
        <v>27</v>
      </c>
      <c r="S89" t="s">
        <v>36</v>
      </c>
      <c r="T89">
        <v>4.4000000000000004</v>
      </c>
      <c r="U89">
        <v>5</v>
      </c>
      <c r="V89" s="1">
        <v>43518</v>
      </c>
      <c r="W89">
        <v>17</v>
      </c>
      <c r="X89" t="str">
        <f>INDEX(Position!B:B,MATCH(Table1[[#This Row],[Position ID]],Position!A:A, 0 ))</f>
        <v>Production Technician II</v>
      </c>
      <c r="Y89" t="str">
        <f>INDEX(Department!B:B,MATCH(Table1[[#This Row],[Department ID]],Department!A:A,0))</f>
        <v>Production</v>
      </c>
      <c r="Z89" t="str">
        <f>INDEX(Manager!B:B,MATCH(Table1[[#This Row],[Manger ID]],Manager!A:A,0))</f>
        <v>Elijiah Gray</v>
      </c>
      <c r="AA89">
        <f ca="1">DATEDIF(Table1[[#This Row],[DOB]],TODAY(), "Y")</f>
        <v>45</v>
      </c>
      <c r="AB89" t="str">
        <f ca="1">IF(Table1[[#This Row],[ Age]]&lt;18,"Less than 18",IF(Table1[[#This Row],[ Age]]&lt;=29,"18-29",IF(Table1[[#This Row],[ Age]]&lt;=49,"30-49",IF(Table1[[#This Row],[ Age]]&lt;=59,"50-59","60 or more"))))</f>
        <v>30-49</v>
      </c>
      <c r="AC89" s="8">
        <f ca="1">IF(ISBLANK(Table1[[#This Row],[DateofTermination]]),DATEDIF(Table1[[#This Row],[DateofHire]],TODAY(), "M"),DATEDIF(Table1[[#This Row],[DateofHire]],Table1[[#This Row],[DateofTermination]],"M"))/12</f>
        <v>9.75</v>
      </c>
      <c r="AD89" t="str">
        <f>IF(Table1[[#This Row],[EmpSatisfaction]]=1,"Very Dissatisfied", IF(Table1[[#This Row],[EmpSatisfaction]] = 2, "Dissatisfied", IF(Table1[[#This Row],[EmpSatisfaction]]  = 3, "Neutral", IF(Table1[[#This Row],[EmpSatisfaction]] = 4, "Satisfied", IF(Table1[[#This Row],[EmpSatisfaction]]=5,"Very Satisfied", " ")))))</f>
        <v>Very Satisfied</v>
      </c>
      <c r="AE89">
        <f>YEAR(Table1[[#This Row],[DateofHire]])</f>
        <v>2014</v>
      </c>
      <c r="AF89" t="s">
        <v>25</v>
      </c>
    </row>
    <row r="90" spans="1:32" x14ac:dyDescent="0.3">
      <c r="A90" t="s">
        <v>185</v>
      </c>
      <c r="B90">
        <v>10136</v>
      </c>
      <c r="C90" t="s">
        <v>475</v>
      </c>
      <c r="D90" t="s">
        <v>489</v>
      </c>
      <c r="E90">
        <v>10069</v>
      </c>
      <c r="F90" s="1">
        <v>41687</v>
      </c>
      <c r="G90" s="7">
        <v>65902</v>
      </c>
      <c r="H90" t="s">
        <v>499</v>
      </c>
      <c r="I90" s="1">
        <v>32047</v>
      </c>
      <c r="J90" t="s">
        <v>22</v>
      </c>
      <c r="K90" t="s">
        <v>23</v>
      </c>
      <c r="L90" t="s">
        <v>57</v>
      </c>
      <c r="M90" t="s">
        <v>21</v>
      </c>
      <c r="N90">
        <v>2324</v>
      </c>
      <c r="P90" t="s">
        <v>512</v>
      </c>
      <c r="Q90" t="s">
        <v>25</v>
      </c>
      <c r="R90" t="s">
        <v>27</v>
      </c>
      <c r="S90" t="s">
        <v>36</v>
      </c>
      <c r="T90">
        <v>4</v>
      </c>
      <c r="U90">
        <v>4</v>
      </c>
      <c r="V90" s="1">
        <v>43472</v>
      </c>
      <c r="W90">
        <v>7</v>
      </c>
      <c r="X90" t="str">
        <f>INDEX(Position!B:B,MATCH(Table1[[#This Row],[Position ID]],Position!A:A, 0 ))</f>
        <v>Production Technician II</v>
      </c>
      <c r="Y90" t="str">
        <f>INDEX(Department!B:B,MATCH(Table1[[#This Row],[Department ID]],Department!A:A,0))</f>
        <v>Production</v>
      </c>
      <c r="Z90" t="str">
        <f>INDEX(Manager!B:B,MATCH(Table1[[#This Row],[Manger ID]],Manager!A:A,0))</f>
        <v>Webster Butler</v>
      </c>
      <c r="AA90">
        <f ca="1">DATEDIF(Table1[[#This Row],[DOB]],TODAY(), "Y")</f>
        <v>36</v>
      </c>
      <c r="AB90" t="str">
        <f ca="1">IF(Table1[[#This Row],[ Age]]&lt;18,"Less than 18",IF(Table1[[#This Row],[ Age]]&lt;=29,"18-29",IF(Table1[[#This Row],[ Age]]&lt;=49,"30-49",IF(Table1[[#This Row],[ Age]]&lt;=59,"50-59","60 or more"))))</f>
        <v>30-49</v>
      </c>
      <c r="AC90" s="8">
        <f ca="1">IF(ISBLANK(Table1[[#This Row],[DateofTermination]]),DATEDIF(Table1[[#This Row],[DateofHire]],TODAY(), "M"),DATEDIF(Table1[[#This Row],[DateofHire]],Table1[[#This Row],[DateofTermination]],"M"))/12</f>
        <v>10.083333333333334</v>
      </c>
      <c r="AD90" t="str">
        <f>IF(Table1[[#This Row],[EmpSatisfaction]]=1,"Very Dissatisfied", IF(Table1[[#This Row],[EmpSatisfaction]] = 2, "Dissatisfied", IF(Table1[[#This Row],[EmpSatisfaction]]  = 3, "Neutral", IF(Table1[[#This Row],[EmpSatisfaction]] = 4, "Satisfied", IF(Table1[[#This Row],[EmpSatisfaction]]=5,"Very Satisfied", " ")))))</f>
        <v>Satisfied</v>
      </c>
      <c r="AE90">
        <f>YEAR(Table1[[#This Row],[DateofHire]])</f>
        <v>2014</v>
      </c>
      <c r="AF90" t="s">
        <v>25</v>
      </c>
    </row>
    <row r="91" spans="1:32" hidden="1" x14ac:dyDescent="0.3">
      <c r="A91" t="s">
        <v>186</v>
      </c>
      <c r="B91">
        <v>10189</v>
      </c>
      <c r="C91" t="s">
        <v>474</v>
      </c>
      <c r="D91" t="s">
        <v>489</v>
      </c>
      <c r="E91">
        <v>10069</v>
      </c>
      <c r="F91" s="1">
        <v>40854</v>
      </c>
      <c r="G91" s="7">
        <v>57748</v>
      </c>
      <c r="H91" t="s">
        <v>499</v>
      </c>
      <c r="I91" s="1">
        <v>20193</v>
      </c>
      <c r="J91" t="s">
        <v>31</v>
      </c>
      <c r="K91" t="s">
        <v>23</v>
      </c>
      <c r="L91" t="s">
        <v>24</v>
      </c>
      <c r="M91" t="s">
        <v>21</v>
      </c>
      <c r="N91">
        <v>2176</v>
      </c>
      <c r="O91" s="1">
        <v>42507</v>
      </c>
      <c r="P91" t="s">
        <v>524</v>
      </c>
      <c r="Q91" t="s">
        <v>32</v>
      </c>
      <c r="R91" t="s">
        <v>45</v>
      </c>
      <c r="S91" t="s">
        <v>36</v>
      </c>
      <c r="T91">
        <v>3.13</v>
      </c>
      <c r="U91">
        <v>3</v>
      </c>
      <c r="V91" s="1">
        <v>42404</v>
      </c>
      <c r="W91">
        <v>16</v>
      </c>
      <c r="X91" t="str">
        <f>INDEX(Position!B:B,MATCH(Table1[[#This Row],[Position ID]],Position!A:A, 0 ))</f>
        <v>Production Technician I</v>
      </c>
      <c r="Y91" t="str">
        <f>INDEX(Department!B:B,MATCH(Table1[[#This Row],[Department ID]],Department!A:A,0))</f>
        <v>Production</v>
      </c>
      <c r="Z91" t="str">
        <f>INDEX(Manager!B:B,MATCH(Table1[[#This Row],[Manger ID]],Manager!A:A,0))</f>
        <v>Webster Butler</v>
      </c>
      <c r="AA91">
        <f ca="1">DATEDIF(Table1[[#This Row],[DOB]],TODAY(), "Y")</f>
        <v>68</v>
      </c>
      <c r="AB91" t="str">
        <f ca="1">IF(Table1[[#This Row],[ Age]]&lt;18,"Less than 18",IF(Table1[[#This Row],[ Age]]&lt;=29,"18-29",IF(Table1[[#This Row],[ Age]]&lt;=49,"30-49",IF(Table1[[#This Row],[ Age]]&lt;=59,"50-59","60 or more"))))</f>
        <v>60 or more</v>
      </c>
      <c r="AC91" s="8">
        <f ca="1">IF(ISBLANK(Table1[[#This Row],[DateofTermination]]),DATEDIF(Table1[[#This Row],[DateofHire]],TODAY(), "M"),DATEDIF(Table1[[#This Row],[DateofHire]],Table1[[#This Row],[DateofTermination]],"M"))/12</f>
        <v>4.5</v>
      </c>
      <c r="AD91" t="str">
        <f>IF(Table1[[#This Row],[EmpSatisfaction]]=1,"Very Dissatisfied", IF(Table1[[#This Row],[EmpSatisfaction]] = 2, "Dissatisfied", IF(Table1[[#This Row],[EmpSatisfaction]]  = 3, "Neutral", IF(Table1[[#This Row],[EmpSatisfaction]] = 4, "Satisfied", IF(Table1[[#This Row],[EmpSatisfaction]]=5,"Very Satisfied", " ")))))</f>
        <v>Neutral</v>
      </c>
      <c r="AE91">
        <f>YEAR(Table1[[#This Row],[DateofHire]])</f>
        <v>2011</v>
      </c>
      <c r="AF91" t="s">
        <v>535</v>
      </c>
    </row>
    <row r="92" spans="1:32" x14ac:dyDescent="0.3">
      <c r="A92" t="s">
        <v>187</v>
      </c>
      <c r="B92">
        <v>10308</v>
      </c>
      <c r="C92" t="s">
        <v>474</v>
      </c>
      <c r="D92" t="s">
        <v>489</v>
      </c>
      <c r="E92">
        <v>10002</v>
      </c>
      <c r="F92" s="1">
        <v>42135</v>
      </c>
      <c r="G92" s="7">
        <v>64057</v>
      </c>
      <c r="H92" t="s">
        <v>498</v>
      </c>
      <c r="I92" s="1">
        <v>32799</v>
      </c>
      <c r="J92" t="s">
        <v>31</v>
      </c>
      <c r="K92" t="s">
        <v>23</v>
      </c>
      <c r="L92" t="s">
        <v>24</v>
      </c>
      <c r="M92" t="s">
        <v>21</v>
      </c>
      <c r="N92">
        <v>2132</v>
      </c>
      <c r="P92" t="s">
        <v>512</v>
      </c>
      <c r="Q92" t="s">
        <v>25</v>
      </c>
      <c r="R92" t="s">
        <v>35</v>
      </c>
      <c r="S92" t="s">
        <v>158</v>
      </c>
      <c r="T92">
        <v>1.56</v>
      </c>
      <c r="U92">
        <v>5</v>
      </c>
      <c r="V92" s="1">
        <v>43468</v>
      </c>
      <c r="W92">
        <v>15</v>
      </c>
      <c r="X92" t="str">
        <f>INDEX(Position!B:B,MATCH(Table1[[#This Row],[Position ID]],Position!A:A, 0 ))</f>
        <v>Production Technician I</v>
      </c>
      <c r="Y92" t="str">
        <f>INDEX(Department!B:B,MATCH(Table1[[#This Row],[Department ID]],Department!A:A,0))</f>
        <v>Production</v>
      </c>
      <c r="Z92" t="str">
        <f>INDEX(Manager!B:B,MATCH(Table1[[#This Row],[Manger ID]],Manager!A:A,0))</f>
        <v>Amy Dunn</v>
      </c>
      <c r="AA92">
        <f ca="1">DATEDIF(Table1[[#This Row],[DOB]],TODAY(), "Y")</f>
        <v>34</v>
      </c>
      <c r="AB92" t="str">
        <f ca="1">IF(Table1[[#This Row],[ Age]]&lt;18,"Less than 18",IF(Table1[[#This Row],[ Age]]&lt;=29,"18-29",IF(Table1[[#This Row],[ Age]]&lt;=49,"30-49",IF(Table1[[#This Row],[ Age]]&lt;=59,"50-59","60 or more"))))</f>
        <v>30-49</v>
      </c>
      <c r="AC92" s="8">
        <f ca="1">IF(ISBLANK(Table1[[#This Row],[DateofTermination]]),DATEDIF(Table1[[#This Row],[DateofHire]],TODAY(), "M"),DATEDIF(Table1[[#This Row],[DateofHire]],Table1[[#This Row],[DateofTermination]],"M"))/12</f>
        <v>8.8333333333333339</v>
      </c>
      <c r="AD92" t="str">
        <f>IF(Table1[[#This Row],[EmpSatisfaction]]=1,"Very Dissatisfied", IF(Table1[[#This Row],[EmpSatisfaction]] = 2, "Dissatisfied", IF(Table1[[#This Row],[EmpSatisfaction]]  = 3, "Neutral", IF(Table1[[#This Row],[EmpSatisfaction]] = 4, "Satisfied", IF(Table1[[#This Row],[EmpSatisfaction]]=5,"Very Satisfied", " ")))))</f>
        <v>Very Satisfied</v>
      </c>
      <c r="AE92">
        <f>YEAR(Table1[[#This Row],[DateofHire]])</f>
        <v>2015</v>
      </c>
      <c r="AF92" t="s">
        <v>25</v>
      </c>
    </row>
    <row r="93" spans="1:32" x14ac:dyDescent="0.3">
      <c r="A93" t="s">
        <v>188</v>
      </c>
      <c r="B93">
        <v>10309</v>
      </c>
      <c r="C93" t="s">
        <v>470</v>
      </c>
      <c r="D93" t="s">
        <v>488</v>
      </c>
      <c r="E93">
        <v>10250</v>
      </c>
      <c r="F93" s="1">
        <v>42093</v>
      </c>
      <c r="G93" s="7">
        <v>53366</v>
      </c>
      <c r="H93" t="s">
        <v>498</v>
      </c>
      <c r="I93" s="1">
        <v>31946</v>
      </c>
      <c r="J93" t="s">
        <v>22</v>
      </c>
      <c r="K93" t="s">
        <v>23</v>
      </c>
      <c r="L93" t="s">
        <v>24</v>
      </c>
      <c r="M93" t="s">
        <v>21</v>
      </c>
      <c r="N93">
        <v>2138</v>
      </c>
      <c r="P93" t="s">
        <v>512</v>
      </c>
      <c r="Q93" t="s">
        <v>25</v>
      </c>
      <c r="R93" t="s">
        <v>27</v>
      </c>
      <c r="S93" t="s">
        <v>158</v>
      </c>
      <c r="T93">
        <v>1.2</v>
      </c>
      <c r="U93">
        <v>3</v>
      </c>
      <c r="V93" s="1">
        <v>43500</v>
      </c>
      <c r="W93">
        <v>2</v>
      </c>
      <c r="X93" t="str">
        <f>INDEX(Position!B:B,MATCH(Table1[[#This Row],[Position ID]],Position!A:A, 0 ))</f>
        <v>Network Engineer</v>
      </c>
      <c r="Y93" t="str">
        <f>INDEX(Department!B:B,MATCH(Table1[[#This Row],[Department ID]],Department!A:A,0))</f>
        <v>IT/IS</v>
      </c>
      <c r="Z93" t="str">
        <f>INDEX(Manager!B:B,MATCH(Table1[[#This Row],[Manger ID]],Manager!A:A,0))</f>
        <v>Peter Monroe</v>
      </c>
      <c r="AA93">
        <f ca="1">DATEDIF(Table1[[#This Row],[DOB]],TODAY(), "Y")</f>
        <v>36</v>
      </c>
      <c r="AB93" t="str">
        <f ca="1">IF(Table1[[#This Row],[ Age]]&lt;18,"Less than 18",IF(Table1[[#This Row],[ Age]]&lt;=29,"18-29",IF(Table1[[#This Row],[ Age]]&lt;=49,"30-49",IF(Table1[[#This Row],[ Age]]&lt;=59,"50-59","60 or more"))))</f>
        <v>30-49</v>
      </c>
      <c r="AC93" s="8">
        <f ca="1">IF(ISBLANK(Table1[[#This Row],[DateofTermination]]),DATEDIF(Table1[[#This Row],[DateofHire]],TODAY(), "M"),DATEDIF(Table1[[#This Row],[DateofHire]],Table1[[#This Row],[DateofTermination]],"M"))/12</f>
        <v>9</v>
      </c>
      <c r="AD93" t="str">
        <f>IF(Table1[[#This Row],[EmpSatisfaction]]=1,"Very Dissatisfied", IF(Table1[[#This Row],[EmpSatisfaction]] = 2, "Dissatisfied", IF(Table1[[#This Row],[EmpSatisfaction]]  = 3, "Neutral", IF(Table1[[#This Row],[EmpSatisfaction]] = 4, "Satisfied", IF(Table1[[#This Row],[EmpSatisfaction]]=5,"Very Satisfied", " ")))))</f>
        <v>Neutral</v>
      </c>
      <c r="AE93">
        <f>YEAR(Table1[[#This Row],[DateofHire]])</f>
        <v>2015</v>
      </c>
      <c r="AF93" t="s">
        <v>25</v>
      </c>
    </row>
    <row r="94" spans="1:32" x14ac:dyDescent="0.3">
      <c r="A94" t="s">
        <v>190</v>
      </c>
      <c r="B94">
        <v>10049</v>
      </c>
      <c r="C94" t="s">
        <v>474</v>
      </c>
      <c r="D94" t="s">
        <v>489</v>
      </c>
      <c r="E94">
        <v>10114</v>
      </c>
      <c r="F94" s="1">
        <v>40917</v>
      </c>
      <c r="G94" s="7">
        <v>58530</v>
      </c>
      <c r="H94" t="s">
        <v>499</v>
      </c>
      <c r="I94" s="1">
        <v>29661</v>
      </c>
      <c r="J94" t="s">
        <v>31</v>
      </c>
      <c r="K94" t="s">
        <v>23</v>
      </c>
      <c r="L94" t="s">
        <v>24</v>
      </c>
      <c r="M94" t="s">
        <v>21</v>
      </c>
      <c r="N94">
        <v>2155</v>
      </c>
      <c r="P94" t="s">
        <v>512</v>
      </c>
      <c r="Q94" t="s">
        <v>25</v>
      </c>
      <c r="R94" t="s">
        <v>45</v>
      </c>
      <c r="S94" t="s">
        <v>36</v>
      </c>
      <c r="T94">
        <v>5</v>
      </c>
      <c r="U94">
        <v>5</v>
      </c>
      <c r="V94" s="1">
        <v>43494</v>
      </c>
      <c r="W94">
        <v>19</v>
      </c>
      <c r="X94" t="str">
        <f>INDEX(Position!B:B,MATCH(Table1[[#This Row],[Position ID]],Position!A:A, 0 ))</f>
        <v>Production Technician I</v>
      </c>
      <c r="Y94" t="str">
        <f>INDEX(Department!B:B,MATCH(Table1[[#This Row],[Department ID]],Department!A:A,0))</f>
        <v>Production</v>
      </c>
      <c r="Z94" t="str">
        <f>INDEX(Manager!B:B,MATCH(Table1[[#This Row],[Manger ID]],Manager!A:A,0))</f>
        <v>Brannon Miller</v>
      </c>
      <c r="AA94">
        <f ca="1">DATEDIF(Table1[[#This Row],[DOB]],TODAY(), "Y")</f>
        <v>43</v>
      </c>
      <c r="AB94" t="str">
        <f ca="1">IF(Table1[[#This Row],[ Age]]&lt;18,"Less than 18",IF(Table1[[#This Row],[ Age]]&lt;=29,"18-29",IF(Table1[[#This Row],[ Age]]&lt;=49,"30-49",IF(Table1[[#This Row],[ Age]]&lt;=59,"50-59","60 or more"))))</f>
        <v>30-49</v>
      </c>
      <c r="AC94" s="8">
        <f ca="1">IF(ISBLANK(Table1[[#This Row],[DateofTermination]]),DATEDIF(Table1[[#This Row],[DateofHire]],TODAY(), "M"),DATEDIF(Table1[[#This Row],[DateofHire]],Table1[[#This Row],[DateofTermination]],"M"))/12</f>
        <v>12.25</v>
      </c>
      <c r="AD94" t="str">
        <f>IF(Table1[[#This Row],[EmpSatisfaction]]=1,"Very Dissatisfied", IF(Table1[[#This Row],[EmpSatisfaction]] = 2, "Dissatisfied", IF(Table1[[#This Row],[EmpSatisfaction]]  = 3, "Neutral", IF(Table1[[#This Row],[EmpSatisfaction]] = 4, "Satisfied", IF(Table1[[#This Row],[EmpSatisfaction]]=5,"Very Satisfied", " ")))))</f>
        <v>Very Satisfied</v>
      </c>
      <c r="AE94">
        <f>YEAR(Table1[[#This Row],[DateofHire]])</f>
        <v>2012</v>
      </c>
      <c r="AF94" t="s">
        <v>25</v>
      </c>
    </row>
    <row r="95" spans="1:32" hidden="1" x14ac:dyDescent="0.3">
      <c r="A95" t="s">
        <v>191</v>
      </c>
      <c r="B95">
        <v>10093</v>
      </c>
      <c r="C95" t="s">
        <v>475</v>
      </c>
      <c r="D95" t="s">
        <v>489</v>
      </c>
      <c r="E95">
        <v>10002</v>
      </c>
      <c r="F95" s="1">
        <v>40679</v>
      </c>
      <c r="G95" s="7">
        <v>72609</v>
      </c>
      <c r="H95" t="s">
        <v>498</v>
      </c>
      <c r="I95" s="1">
        <v>29860</v>
      </c>
      <c r="J95" t="s">
        <v>22</v>
      </c>
      <c r="K95" t="s">
        <v>23</v>
      </c>
      <c r="L95" t="s">
        <v>24</v>
      </c>
      <c r="M95" t="s">
        <v>21</v>
      </c>
      <c r="N95">
        <v>2143</v>
      </c>
      <c r="O95" s="1">
        <v>41449</v>
      </c>
      <c r="P95" t="s">
        <v>514</v>
      </c>
      <c r="Q95" t="s">
        <v>32</v>
      </c>
      <c r="R95" t="s">
        <v>45</v>
      </c>
      <c r="S95" t="s">
        <v>36</v>
      </c>
      <c r="T95">
        <v>4.76</v>
      </c>
      <c r="U95">
        <v>5</v>
      </c>
      <c r="V95" s="1">
        <v>41369</v>
      </c>
      <c r="W95">
        <v>20</v>
      </c>
      <c r="X95" t="str">
        <f>INDEX(Position!B:B,MATCH(Table1[[#This Row],[Position ID]],Position!A:A, 0 ))</f>
        <v>Production Technician II</v>
      </c>
      <c r="Y95" t="str">
        <f>INDEX(Department!B:B,MATCH(Table1[[#This Row],[Department ID]],Department!A:A,0))</f>
        <v>Production</v>
      </c>
      <c r="Z95" t="str">
        <f>INDEX(Manager!B:B,MATCH(Table1[[#This Row],[Manger ID]],Manager!A:A,0))</f>
        <v>Amy Dunn</v>
      </c>
      <c r="AA95">
        <f ca="1">DATEDIF(Table1[[#This Row],[DOB]],TODAY(), "Y")</f>
        <v>42</v>
      </c>
      <c r="AB95" t="str">
        <f ca="1">IF(Table1[[#This Row],[ Age]]&lt;18,"Less than 18",IF(Table1[[#This Row],[ Age]]&lt;=29,"18-29",IF(Table1[[#This Row],[ Age]]&lt;=49,"30-49",IF(Table1[[#This Row],[ Age]]&lt;=59,"50-59","60 or more"))))</f>
        <v>30-49</v>
      </c>
      <c r="AC95" s="8">
        <f ca="1">IF(ISBLANK(Table1[[#This Row],[DateofTermination]]),DATEDIF(Table1[[#This Row],[DateofHire]],TODAY(), "M"),DATEDIF(Table1[[#This Row],[DateofHire]],Table1[[#This Row],[DateofTermination]],"M"))/12</f>
        <v>2.0833333333333335</v>
      </c>
      <c r="AD95" t="str">
        <f>IF(Table1[[#This Row],[EmpSatisfaction]]=1,"Very Dissatisfied", IF(Table1[[#This Row],[EmpSatisfaction]] = 2, "Dissatisfied", IF(Table1[[#This Row],[EmpSatisfaction]]  = 3, "Neutral", IF(Table1[[#This Row],[EmpSatisfaction]] = 4, "Satisfied", IF(Table1[[#This Row],[EmpSatisfaction]]=5,"Very Satisfied", " ")))))</f>
        <v>Very Satisfied</v>
      </c>
      <c r="AE95">
        <f>YEAR(Table1[[#This Row],[DateofHire]])</f>
        <v>2011</v>
      </c>
      <c r="AF95" t="s">
        <v>535</v>
      </c>
    </row>
    <row r="96" spans="1:32" hidden="1" x14ac:dyDescent="0.3">
      <c r="A96" t="s">
        <v>192</v>
      </c>
      <c r="B96">
        <v>10163</v>
      </c>
      <c r="C96" t="s">
        <v>475</v>
      </c>
      <c r="D96" t="s">
        <v>489</v>
      </c>
      <c r="E96">
        <v>10062</v>
      </c>
      <c r="F96" s="1">
        <v>40637</v>
      </c>
      <c r="G96" s="7">
        <v>55965</v>
      </c>
      <c r="H96" t="s">
        <v>499</v>
      </c>
      <c r="I96" s="1">
        <v>30628</v>
      </c>
      <c r="J96" t="s">
        <v>31</v>
      </c>
      <c r="K96" t="s">
        <v>23</v>
      </c>
      <c r="L96" t="s">
        <v>24</v>
      </c>
      <c r="M96" t="s">
        <v>21</v>
      </c>
      <c r="N96">
        <v>2170</v>
      </c>
      <c r="O96" s="1">
        <v>41283</v>
      </c>
      <c r="P96" t="s">
        <v>513</v>
      </c>
      <c r="Q96" t="s">
        <v>32</v>
      </c>
      <c r="R96" t="s">
        <v>45</v>
      </c>
      <c r="S96" t="s">
        <v>36</v>
      </c>
      <c r="T96">
        <v>3.66</v>
      </c>
      <c r="U96">
        <v>3</v>
      </c>
      <c r="V96" s="1">
        <v>40915</v>
      </c>
      <c r="W96">
        <v>6</v>
      </c>
      <c r="X96" t="str">
        <f>INDEX(Position!B:B,MATCH(Table1[[#This Row],[Position ID]],Position!A:A, 0 ))</f>
        <v>Production Technician II</v>
      </c>
      <c r="Y96" t="str">
        <f>INDEX(Department!B:B,MATCH(Table1[[#This Row],[Department ID]],Department!A:A,0))</f>
        <v>Production</v>
      </c>
      <c r="Z96" t="str">
        <f>INDEX(Manager!B:B,MATCH(Table1[[#This Row],[Manger ID]],Manager!A:A,0))</f>
        <v>Ketsia Liebig</v>
      </c>
      <c r="AA96">
        <f ca="1">DATEDIF(Table1[[#This Row],[DOB]],TODAY(), "Y")</f>
        <v>40</v>
      </c>
      <c r="AB96" t="str">
        <f ca="1">IF(Table1[[#This Row],[ Age]]&lt;18,"Less than 18",IF(Table1[[#This Row],[ Age]]&lt;=29,"18-29",IF(Table1[[#This Row],[ Age]]&lt;=49,"30-49",IF(Table1[[#This Row],[ Age]]&lt;=59,"50-59","60 or more"))))</f>
        <v>30-49</v>
      </c>
      <c r="AC96" s="8">
        <f ca="1">IF(ISBLANK(Table1[[#This Row],[DateofTermination]]),DATEDIF(Table1[[#This Row],[DateofHire]],TODAY(), "M"),DATEDIF(Table1[[#This Row],[DateofHire]],Table1[[#This Row],[DateofTermination]],"M"))/12</f>
        <v>1.75</v>
      </c>
      <c r="AD96" t="str">
        <f>IF(Table1[[#This Row],[EmpSatisfaction]]=1,"Very Dissatisfied", IF(Table1[[#This Row],[EmpSatisfaction]] = 2, "Dissatisfied", IF(Table1[[#This Row],[EmpSatisfaction]]  = 3, "Neutral", IF(Table1[[#This Row],[EmpSatisfaction]] = 4, "Satisfied", IF(Table1[[#This Row],[EmpSatisfaction]]=5,"Very Satisfied", " ")))))</f>
        <v>Neutral</v>
      </c>
      <c r="AE96">
        <f>YEAR(Table1[[#This Row],[DateofHire]])</f>
        <v>2011</v>
      </c>
      <c r="AF96" t="s">
        <v>535</v>
      </c>
    </row>
    <row r="97" spans="1:32" hidden="1" x14ac:dyDescent="0.3">
      <c r="A97" t="s">
        <v>193</v>
      </c>
      <c r="B97">
        <v>10305</v>
      </c>
      <c r="C97" t="s">
        <v>454</v>
      </c>
      <c r="D97" t="s">
        <v>490</v>
      </c>
      <c r="E97">
        <v>10200</v>
      </c>
      <c r="F97" s="1">
        <v>41911</v>
      </c>
      <c r="G97" s="7">
        <v>70187</v>
      </c>
      <c r="H97" t="s">
        <v>498</v>
      </c>
      <c r="I97" s="1">
        <v>27582</v>
      </c>
      <c r="J97" t="s">
        <v>31</v>
      </c>
      <c r="K97" t="s">
        <v>23</v>
      </c>
      <c r="L97" t="s">
        <v>24</v>
      </c>
      <c r="M97" t="s">
        <v>21</v>
      </c>
      <c r="N97">
        <v>2330</v>
      </c>
      <c r="O97" s="1">
        <v>43331</v>
      </c>
      <c r="P97" t="s">
        <v>526</v>
      </c>
      <c r="Q97" t="s">
        <v>75</v>
      </c>
      <c r="R97" t="s">
        <v>55</v>
      </c>
      <c r="S97" t="s">
        <v>158</v>
      </c>
      <c r="T97">
        <v>2</v>
      </c>
      <c r="U97">
        <v>5</v>
      </c>
      <c r="V97" s="1">
        <v>43493</v>
      </c>
      <c r="W97">
        <v>7</v>
      </c>
      <c r="X97" t="str">
        <f>INDEX(Position!B:B,MATCH(Table1[[#This Row],[Position ID]],Position!A:A, 0 ))</f>
        <v>Area Sales Manager</v>
      </c>
      <c r="Y97" t="str">
        <f>INDEX(Department!B:B,MATCH(Table1[[#This Row],[Department ID]],Department!A:A,0))</f>
        <v>Sales</v>
      </c>
      <c r="Z97" t="str">
        <f>INDEX(Manager!B:B,MATCH(Table1[[#This Row],[Manger ID]],Manager!A:A,0))</f>
        <v>Lynn Daneault</v>
      </c>
      <c r="AA97">
        <f ca="1">DATEDIF(Table1[[#This Row],[DOB]],TODAY(), "Y")</f>
        <v>48</v>
      </c>
      <c r="AB97" t="str">
        <f ca="1">IF(Table1[[#This Row],[ Age]]&lt;18,"Less than 18",IF(Table1[[#This Row],[ Age]]&lt;=29,"18-29",IF(Table1[[#This Row],[ Age]]&lt;=49,"30-49",IF(Table1[[#This Row],[ Age]]&lt;=59,"50-59","60 or more"))))</f>
        <v>30-49</v>
      </c>
      <c r="AC97" s="8">
        <f ca="1">IF(ISBLANK(Table1[[#This Row],[DateofTermination]]),DATEDIF(Table1[[#This Row],[DateofHire]],TODAY(), "M"),DATEDIF(Table1[[#This Row],[DateofHire]],Table1[[#This Row],[DateofTermination]],"M"))/12</f>
        <v>3.8333333333333335</v>
      </c>
      <c r="AD97" t="str">
        <f>IF(Table1[[#This Row],[EmpSatisfaction]]=1,"Very Dissatisfied", IF(Table1[[#This Row],[EmpSatisfaction]] = 2, "Dissatisfied", IF(Table1[[#This Row],[EmpSatisfaction]]  = 3, "Neutral", IF(Table1[[#This Row],[EmpSatisfaction]] = 4, "Satisfied", IF(Table1[[#This Row],[EmpSatisfaction]]=5,"Very Satisfied", " ")))))</f>
        <v>Very Satisfied</v>
      </c>
      <c r="AE97">
        <f>YEAR(Table1[[#This Row],[DateofHire]])</f>
        <v>2014</v>
      </c>
      <c r="AF97" t="s">
        <v>535</v>
      </c>
    </row>
    <row r="98" spans="1:32" x14ac:dyDescent="0.3">
      <c r="A98" t="s">
        <v>194</v>
      </c>
      <c r="B98">
        <v>10015</v>
      </c>
      <c r="C98" t="s">
        <v>465</v>
      </c>
      <c r="D98" t="s">
        <v>488</v>
      </c>
      <c r="E98">
        <v>10150</v>
      </c>
      <c r="F98" s="1">
        <v>40648</v>
      </c>
      <c r="G98" s="7">
        <v>178000</v>
      </c>
      <c r="H98" t="s">
        <v>498</v>
      </c>
      <c r="I98" s="1">
        <v>29407</v>
      </c>
      <c r="J98" t="s">
        <v>22</v>
      </c>
      <c r="K98" t="s">
        <v>23</v>
      </c>
      <c r="L98" t="s">
        <v>57</v>
      </c>
      <c r="M98" t="s">
        <v>21</v>
      </c>
      <c r="N98">
        <v>1460</v>
      </c>
      <c r="P98" t="s">
        <v>512</v>
      </c>
      <c r="Q98" t="s">
        <v>25</v>
      </c>
      <c r="R98" t="s">
        <v>35</v>
      </c>
      <c r="S98" t="s">
        <v>28</v>
      </c>
      <c r="T98">
        <v>5</v>
      </c>
      <c r="U98">
        <v>5</v>
      </c>
      <c r="V98" s="1">
        <v>43472</v>
      </c>
      <c r="W98">
        <v>15</v>
      </c>
      <c r="X98" t="str">
        <f>INDEX(Position!B:B,MATCH(Table1[[#This Row],[Position ID]],Position!A:A, 0 ))</f>
        <v>IT Director</v>
      </c>
      <c r="Y98" t="str">
        <f>INDEX(Department!B:B,MATCH(Table1[[#This Row],[Department ID]],Department!A:A,0))</f>
        <v>IT/IS</v>
      </c>
      <c r="Z98" t="str">
        <f>INDEX(Manager!B:B,MATCH(Table1[[#This Row],[Manger ID]],Manager!A:A,0))</f>
        <v>Jennifer Zamora</v>
      </c>
      <c r="AA98">
        <f ca="1">DATEDIF(Table1[[#This Row],[DOB]],TODAY(), "Y")</f>
        <v>43</v>
      </c>
      <c r="AB98" t="str">
        <f ca="1">IF(Table1[[#This Row],[ Age]]&lt;18,"Less than 18",IF(Table1[[#This Row],[ Age]]&lt;=29,"18-29",IF(Table1[[#This Row],[ Age]]&lt;=49,"30-49",IF(Table1[[#This Row],[ Age]]&lt;=59,"50-59","60 or more"))))</f>
        <v>30-49</v>
      </c>
      <c r="AC98" s="8">
        <f ca="1">IF(ISBLANK(Table1[[#This Row],[DateofTermination]]),DATEDIF(Table1[[#This Row],[DateofHire]],TODAY(), "M"),DATEDIF(Table1[[#This Row],[DateofHire]],Table1[[#This Row],[DateofTermination]],"M"))/12</f>
        <v>12.916666666666666</v>
      </c>
      <c r="AD98" t="str">
        <f>IF(Table1[[#This Row],[EmpSatisfaction]]=1,"Very Dissatisfied", IF(Table1[[#This Row],[EmpSatisfaction]] = 2, "Dissatisfied", IF(Table1[[#This Row],[EmpSatisfaction]]  = 3, "Neutral", IF(Table1[[#This Row],[EmpSatisfaction]] = 4, "Satisfied", IF(Table1[[#This Row],[EmpSatisfaction]]=5,"Very Satisfied", " ")))))</f>
        <v>Very Satisfied</v>
      </c>
      <c r="AE98">
        <f>YEAR(Table1[[#This Row],[DateofHire]])</f>
        <v>2011</v>
      </c>
      <c r="AF98" t="s">
        <v>25</v>
      </c>
    </row>
    <row r="99" spans="1:32" x14ac:dyDescent="0.3">
      <c r="A99" t="s">
        <v>196</v>
      </c>
      <c r="B99">
        <v>10080</v>
      </c>
      <c r="C99" t="s">
        <v>481</v>
      </c>
      <c r="D99" t="s">
        <v>486</v>
      </c>
      <c r="E99">
        <v>10080</v>
      </c>
      <c r="F99" s="1">
        <v>39818</v>
      </c>
      <c r="G99" s="7">
        <v>99351</v>
      </c>
      <c r="H99" t="s">
        <v>499</v>
      </c>
      <c r="I99" s="1">
        <v>28961</v>
      </c>
      <c r="J99" t="s">
        <v>31</v>
      </c>
      <c r="K99" t="s">
        <v>23</v>
      </c>
      <c r="L99" t="s">
        <v>24</v>
      </c>
      <c r="M99" t="s">
        <v>21</v>
      </c>
      <c r="N99">
        <v>2050</v>
      </c>
      <c r="P99" t="s">
        <v>512</v>
      </c>
      <c r="Q99" t="s">
        <v>25</v>
      </c>
      <c r="R99" t="s">
        <v>198</v>
      </c>
      <c r="S99" t="s">
        <v>36</v>
      </c>
      <c r="T99">
        <v>5</v>
      </c>
      <c r="U99">
        <v>3</v>
      </c>
      <c r="V99" s="1">
        <v>43504</v>
      </c>
      <c r="W99">
        <v>3</v>
      </c>
      <c r="X99" t="str">
        <f>INDEX(Position!B:B,MATCH(Table1[[#This Row],[Position ID]],Position!A:A, 0 ))</f>
        <v>Sr. Accountant</v>
      </c>
      <c r="Y99" t="str">
        <f>INDEX(Department!B:B,MATCH(Table1[[#This Row],[Department ID]],Department!A:A,0))</f>
        <v>Admin Offices</v>
      </c>
      <c r="Z99" t="str">
        <f>INDEX(Manager!B:B,MATCH(Table1[[#This Row],[Manger ID]],Manager!A:A,0))</f>
        <v>Board of Directors</v>
      </c>
      <c r="AA99">
        <f ca="1">DATEDIF(Table1[[#This Row],[DOB]],TODAY(), "Y")</f>
        <v>44</v>
      </c>
      <c r="AB99" t="str">
        <f ca="1">IF(Table1[[#This Row],[ Age]]&lt;18,"Less than 18",IF(Table1[[#This Row],[ Age]]&lt;=29,"18-29",IF(Table1[[#This Row],[ Age]]&lt;=49,"30-49",IF(Table1[[#This Row],[ Age]]&lt;=59,"50-59","60 or more"))))</f>
        <v>30-49</v>
      </c>
      <c r="AC99" s="8">
        <f ca="1">IF(ISBLANK(Table1[[#This Row],[DateofTermination]]),DATEDIF(Table1[[#This Row],[DateofHire]],TODAY(), "M"),DATEDIF(Table1[[#This Row],[DateofHire]],Table1[[#This Row],[DateofTermination]],"M"))/12</f>
        <v>15.25</v>
      </c>
      <c r="AD99" t="str">
        <f>IF(Table1[[#This Row],[EmpSatisfaction]]=1,"Very Dissatisfied", IF(Table1[[#This Row],[EmpSatisfaction]] = 2, "Dissatisfied", IF(Table1[[#This Row],[EmpSatisfaction]]  = 3, "Neutral", IF(Table1[[#This Row],[EmpSatisfaction]] = 4, "Satisfied", IF(Table1[[#This Row],[EmpSatisfaction]]=5,"Very Satisfied", " ")))))</f>
        <v>Neutral</v>
      </c>
      <c r="AE99">
        <f>YEAR(Table1[[#This Row],[DateofHire]])</f>
        <v>2009</v>
      </c>
      <c r="AF99" t="s">
        <v>25</v>
      </c>
    </row>
    <row r="100" spans="1:32" x14ac:dyDescent="0.3">
      <c r="A100" t="s">
        <v>199</v>
      </c>
      <c r="B100">
        <v>10258</v>
      </c>
      <c r="C100" t="s">
        <v>454</v>
      </c>
      <c r="D100" t="s">
        <v>490</v>
      </c>
      <c r="E100">
        <v>10200</v>
      </c>
      <c r="F100" s="1">
        <v>40792</v>
      </c>
      <c r="G100" s="7">
        <v>67251</v>
      </c>
      <c r="H100" t="s">
        <v>498</v>
      </c>
      <c r="I100" s="1">
        <v>23251</v>
      </c>
      <c r="J100" t="s">
        <v>22</v>
      </c>
      <c r="K100" t="s">
        <v>23</v>
      </c>
      <c r="L100" t="s">
        <v>57</v>
      </c>
      <c r="M100" t="s">
        <v>92</v>
      </c>
      <c r="N100">
        <v>6050</v>
      </c>
      <c r="P100" t="s">
        <v>512</v>
      </c>
      <c r="Q100" t="s">
        <v>25</v>
      </c>
      <c r="R100" t="s">
        <v>87</v>
      </c>
      <c r="S100" t="s">
        <v>36</v>
      </c>
      <c r="T100">
        <v>4.3</v>
      </c>
      <c r="U100">
        <v>3</v>
      </c>
      <c r="V100" s="1">
        <v>43492</v>
      </c>
      <c r="W100">
        <v>7</v>
      </c>
      <c r="X100" t="str">
        <f>INDEX(Position!B:B,MATCH(Table1[[#This Row],[Position ID]],Position!A:A, 0 ))</f>
        <v>Area Sales Manager</v>
      </c>
      <c r="Y100" t="str">
        <f>INDEX(Department!B:B,MATCH(Table1[[#This Row],[Department ID]],Department!A:A,0))</f>
        <v>Sales</v>
      </c>
      <c r="Z100" t="str">
        <f>INDEX(Manager!B:B,MATCH(Table1[[#This Row],[Manger ID]],Manager!A:A,0))</f>
        <v>Lynn Daneault</v>
      </c>
      <c r="AA100">
        <f ca="1">DATEDIF(Table1[[#This Row],[DOB]],TODAY(), "Y")</f>
        <v>60</v>
      </c>
      <c r="AB100" t="str">
        <f ca="1">IF(Table1[[#This Row],[ Age]]&lt;18,"Less than 18",IF(Table1[[#This Row],[ Age]]&lt;=29,"18-29",IF(Table1[[#This Row],[ Age]]&lt;=49,"30-49",IF(Table1[[#This Row],[ Age]]&lt;=59,"50-59","60 or more"))))</f>
        <v>60 or more</v>
      </c>
      <c r="AC100" s="8">
        <f ca="1">IF(ISBLANK(Table1[[#This Row],[DateofTermination]]),DATEDIF(Table1[[#This Row],[DateofHire]],TODAY(), "M"),DATEDIF(Table1[[#This Row],[DateofHire]],Table1[[#This Row],[DateofTermination]],"M"))/12</f>
        <v>12.583333333333334</v>
      </c>
      <c r="AD100" t="str">
        <f>IF(Table1[[#This Row],[EmpSatisfaction]]=1,"Very Dissatisfied", IF(Table1[[#This Row],[EmpSatisfaction]] = 2, "Dissatisfied", IF(Table1[[#This Row],[EmpSatisfaction]]  = 3, "Neutral", IF(Table1[[#This Row],[EmpSatisfaction]] = 4, "Satisfied", IF(Table1[[#This Row],[EmpSatisfaction]]=5,"Very Satisfied", " ")))))</f>
        <v>Neutral</v>
      </c>
      <c r="AE100">
        <f>YEAR(Table1[[#This Row],[DateofHire]])</f>
        <v>2011</v>
      </c>
      <c r="AF100" t="s">
        <v>25</v>
      </c>
    </row>
    <row r="101" spans="1:32" x14ac:dyDescent="0.3">
      <c r="A101" t="s">
        <v>200</v>
      </c>
      <c r="B101">
        <v>10273</v>
      </c>
      <c r="C101" t="s">
        <v>469</v>
      </c>
      <c r="D101" t="s">
        <v>488</v>
      </c>
      <c r="E101">
        <v>10220</v>
      </c>
      <c r="F101" s="1">
        <v>40299</v>
      </c>
      <c r="G101" s="7">
        <v>65707</v>
      </c>
      <c r="H101" t="s">
        <v>499</v>
      </c>
      <c r="I101" s="1">
        <v>25025</v>
      </c>
      <c r="J101" t="s">
        <v>22</v>
      </c>
      <c r="K101" t="s">
        <v>23</v>
      </c>
      <c r="L101" t="s">
        <v>24</v>
      </c>
      <c r="M101" t="s">
        <v>92</v>
      </c>
      <c r="N101">
        <v>6040</v>
      </c>
      <c r="P101" t="s">
        <v>512</v>
      </c>
      <c r="Q101" t="s">
        <v>25</v>
      </c>
      <c r="R101" t="s">
        <v>27</v>
      </c>
      <c r="S101" t="s">
        <v>36</v>
      </c>
      <c r="T101">
        <v>4.7</v>
      </c>
      <c r="U101">
        <v>4</v>
      </c>
      <c r="V101" s="1">
        <v>43497</v>
      </c>
      <c r="W101">
        <v>1</v>
      </c>
      <c r="X101" t="str">
        <f>INDEX(Position!B:B,MATCH(Table1[[#This Row],[Position ID]],Position!A:A, 0 ))</f>
        <v>IT Support</v>
      </c>
      <c r="Y101" t="str">
        <f>INDEX(Department!B:B,MATCH(Table1[[#This Row],[Department ID]],Department!A:A,0))</f>
        <v>IT/IS</v>
      </c>
      <c r="Z101" t="str">
        <f>INDEX(Manager!B:B,MATCH(Table1[[#This Row],[Manger ID]],Manager!A:A,0))</f>
        <v>Eric Dougall</v>
      </c>
      <c r="AA101">
        <f ca="1">DATEDIF(Table1[[#This Row],[DOB]],TODAY(), "Y")</f>
        <v>55</v>
      </c>
      <c r="AB101" t="str">
        <f ca="1">IF(Table1[[#This Row],[ Age]]&lt;18,"Less than 18",IF(Table1[[#This Row],[ Age]]&lt;=29,"18-29",IF(Table1[[#This Row],[ Age]]&lt;=49,"30-49",IF(Table1[[#This Row],[ Age]]&lt;=59,"50-59","60 or more"))))</f>
        <v>50-59</v>
      </c>
      <c r="AC101" s="8">
        <f ca="1">IF(ISBLANK(Table1[[#This Row],[DateofTermination]]),DATEDIF(Table1[[#This Row],[DateofHire]],TODAY(), "M"),DATEDIF(Table1[[#This Row],[DateofHire]],Table1[[#This Row],[DateofTermination]],"M"))/12</f>
        <v>13.916666666666666</v>
      </c>
      <c r="AD101" t="str">
        <f>IF(Table1[[#This Row],[EmpSatisfaction]]=1,"Very Dissatisfied", IF(Table1[[#This Row],[EmpSatisfaction]] = 2, "Dissatisfied", IF(Table1[[#This Row],[EmpSatisfaction]]  = 3, "Neutral", IF(Table1[[#This Row],[EmpSatisfaction]] = 4, "Satisfied", IF(Table1[[#This Row],[EmpSatisfaction]]=5,"Very Satisfied", " ")))))</f>
        <v>Satisfied</v>
      </c>
      <c r="AE101">
        <f>YEAR(Table1[[#This Row],[DateofHire]])</f>
        <v>2010</v>
      </c>
      <c r="AF101" t="s">
        <v>25</v>
      </c>
    </row>
    <row r="102" spans="1:32" x14ac:dyDescent="0.3">
      <c r="A102" t="s">
        <v>201</v>
      </c>
      <c r="B102">
        <v>10111</v>
      </c>
      <c r="C102" t="s">
        <v>474</v>
      </c>
      <c r="D102" t="s">
        <v>489</v>
      </c>
      <c r="E102">
        <v>10252</v>
      </c>
      <c r="F102" s="1">
        <v>42093</v>
      </c>
      <c r="G102" s="7">
        <v>52249</v>
      </c>
      <c r="H102" t="s">
        <v>498</v>
      </c>
      <c r="I102" s="1">
        <v>31305</v>
      </c>
      <c r="J102" t="s">
        <v>22</v>
      </c>
      <c r="K102" t="s">
        <v>23</v>
      </c>
      <c r="L102" t="s">
        <v>24</v>
      </c>
      <c r="M102" t="s">
        <v>21</v>
      </c>
      <c r="N102">
        <v>1905</v>
      </c>
      <c r="P102" t="s">
        <v>512</v>
      </c>
      <c r="Q102" t="s">
        <v>25</v>
      </c>
      <c r="R102" t="s">
        <v>55</v>
      </c>
      <c r="S102" t="s">
        <v>36</v>
      </c>
      <c r="T102">
        <v>4.5</v>
      </c>
      <c r="U102">
        <v>3</v>
      </c>
      <c r="V102" s="1">
        <v>43514</v>
      </c>
      <c r="W102">
        <v>5</v>
      </c>
      <c r="X102" t="str">
        <f>INDEX(Position!B:B,MATCH(Table1[[#This Row],[Position ID]],Position!A:A, 0 ))</f>
        <v>Production Technician I</v>
      </c>
      <c r="Y102" t="str">
        <f>INDEX(Department!B:B,MATCH(Table1[[#This Row],[Department ID]],Department!A:A,0))</f>
        <v>Production</v>
      </c>
      <c r="Z102" t="str">
        <f>INDEX(Manager!B:B,MATCH(Table1[[#This Row],[Manger ID]],Manager!A:A,0))</f>
        <v>David Stanley</v>
      </c>
      <c r="AA102">
        <f ca="1">DATEDIF(Table1[[#This Row],[DOB]],TODAY(), "Y")</f>
        <v>38</v>
      </c>
      <c r="AB102" t="str">
        <f ca="1">IF(Table1[[#This Row],[ Age]]&lt;18,"Less than 18",IF(Table1[[#This Row],[ Age]]&lt;=29,"18-29",IF(Table1[[#This Row],[ Age]]&lt;=49,"30-49",IF(Table1[[#This Row],[ Age]]&lt;=59,"50-59","60 or more"))))</f>
        <v>30-49</v>
      </c>
      <c r="AC102" s="8">
        <f ca="1">IF(ISBLANK(Table1[[#This Row],[DateofTermination]]),DATEDIF(Table1[[#This Row],[DateofHire]],TODAY(), "M"),DATEDIF(Table1[[#This Row],[DateofHire]],Table1[[#This Row],[DateofTermination]],"M"))/12</f>
        <v>9</v>
      </c>
      <c r="AD102" t="str">
        <f>IF(Table1[[#This Row],[EmpSatisfaction]]=1,"Very Dissatisfied", IF(Table1[[#This Row],[EmpSatisfaction]] = 2, "Dissatisfied", IF(Table1[[#This Row],[EmpSatisfaction]]  = 3, "Neutral", IF(Table1[[#This Row],[EmpSatisfaction]] = 4, "Satisfied", IF(Table1[[#This Row],[EmpSatisfaction]]=5,"Very Satisfied", " ")))))</f>
        <v>Neutral</v>
      </c>
      <c r="AE102">
        <f>YEAR(Table1[[#This Row],[DateofHire]])</f>
        <v>2015</v>
      </c>
      <c r="AF102" t="s">
        <v>25</v>
      </c>
    </row>
    <row r="103" spans="1:32" x14ac:dyDescent="0.3">
      <c r="A103" t="s">
        <v>202</v>
      </c>
      <c r="B103">
        <v>10257</v>
      </c>
      <c r="C103" t="s">
        <v>474</v>
      </c>
      <c r="D103" t="s">
        <v>489</v>
      </c>
      <c r="E103">
        <v>10265</v>
      </c>
      <c r="F103" s="1">
        <v>40679</v>
      </c>
      <c r="G103" s="7">
        <v>53171</v>
      </c>
      <c r="H103" t="s">
        <v>499</v>
      </c>
      <c r="I103" s="1">
        <v>30652</v>
      </c>
      <c r="J103" t="s">
        <v>22</v>
      </c>
      <c r="K103" t="s">
        <v>23</v>
      </c>
      <c r="L103" t="s">
        <v>57</v>
      </c>
      <c r="M103" t="s">
        <v>21</v>
      </c>
      <c r="N103">
        <v>2121</v>
      </c>
      <c r="P103" t="s">
        <v>512</v>
      </c>
      <c r="Q103" t="s">
        <v>25</v>
      </c>
      <c r="R103" t="s">
        <v>27</v>
      </c>
      <c r="S103" t="s">
        <v>36</v>
      </c>
      <c r="T103">
        <v>4.2</v>
      </c>
      <c r="U103">
        <v>4</v>
      </c>
      <c r="V103" s="1">
        <v>43522</v>
      </c>
      <c r="W103">
        <v>12</v>
      </c>
      <c r="X103" t="str">
        <f>INDEX(Position!B:B,MATCH(Table1[[#This Row],[Position ID]],Position!A:A, 0 ))</f>
        <v>Production Technician I</v>
      </c>
      <c r="Y103" t="str">
        <f>INDEX(Department!B:B,MATCH(Table1[[#This Row],[Department ID]],Department!A:A,0))</f>
        <v>Production</v>
      </c>
      <c r="Z103" t="str">
        <f>INDEX(Manager!B:B,MATCH(Table1[[#This Row],[Manger ID]],Manager!A:A,0))</f>
        <v>Kelley Spirea</v>
      </c>
      <c r="AA103">
        <f ca="1">DATEDIF(Table1[[#This Row],[DOB]],TODAY(), "Y")</f>
        <v>40</v>
      </c>
      <c r="AB103" t="str">
        <f ca="1">IF(Table1[[#This Row],[ Age]]&lt;18,"Less than 18",IF(Table1[[#This Row],[ Age]]&lt;=29,"18-29",IF(Table1[[#This Row],[ Age]]&lt;=49,"30-49",IF(Table1[[#This Row],[ Age]]&lt;=59,"50-59","60 or more"))))</f>
        <v>30-49</v>
      </c>
      <c r="AC103" s="8">
        <f ca="1">IF(ISBLANK(Table1[[#This Row],[DateofTermination]]),DATEDIF(Table1[[#This Row],[DateofHire]],TODAY(), "M"),DATEDIF(Table1[[#This Row],[DateofHire]],Table1[[#This Row],[DateofTermination]],"M"))/12</f>
        <v>12.833333333333334</v>
      </c>
      <c r="AD103" t="str">
        <f>IF(Table1[[#This Row],[EmpSatisfaction]]=1,"Very Dissatisfied", IF(Table1[[#This Row],[EmpSatisfaction]] = 2, "Dissatisfied", IF(Table1[[#This Row],[EmpSatisfaction]]  = 3, "Neutral", IF(Table1[[#This Row],[EmpSatisfaction]] = 4, "Satisfied", IF(Table1[[#This Row],[EmpSatisfaction]]=5,"Very Satisfied", " ")))))</f>
        <v>Satisfied</v>
      </c>
      <c r="AE103">
        <f>YEAR(Table1[[#This Row],[DateofHire]])</f>
        <v>2011</v>
      </c>
      <c r="AF103" t="s">
        <v>25</v>
      </c>
    </row>
    <row r="104" spans="1:32" x14ac:dyDescent="0.3">
      <c r="A104" t="s">
        <v>203</v>
      </c>
      <c r="B104">
        <v>10159</v>
      </c>
      <c r="C104" t="s">
        <v>474</v>
      </c>
      <c r="D104" t="s">
        <v>489</v>
      </c>
      <c r="E104">
        <v>10026</v>
      </c>
      <c r="F104" s="1">
        <v>42093</v>
      </c>
      <c r="G104" s="7">
        <v>51337</v>
      </c>
      <c r="H104" t="s">
        <v>499</v>
      </c>
      <c r="I104" s="1">
        <v>33147</v>
      </c>
      <c r="J104" t="s">
        <v>31</v>
      </c>
      <c r="K104" t="s">
        <v>23</v>
      </c>
      <c r="L104" t="s">
        <v>57</v>
      </c>
      <c r="M104" t="s">
        <v>21</v>
      </c>
      <c r="N104">
        <v>2145</v>
      </c>
      <c r="P104" t="s">
        <v>512</v>
      </c>
      <c r="Q104" t="s">
        <v>25</v>
      </c>
      <c r="R104" t="s">
        <v>27</v>
      </c>
      <c r="S104" t="s">
        <v>36</v>
      </c>
      <c r="T104">
        <v>3.73</v>
      </c>
      <c r="U104">
        <v>3</v>
      </c>
      <c r="V104" s="1">
        <v>43481</v>
      </c>
      <c r="W104">
        <v>19</v>
      </c>
      <c r="X104" t="str">
        <f>INDEX(Position!B:B,MATCH(Table1[[#This Row],[Position ID]],Position!A:A, 0 ))</f>
        <v>Production Technician I</v>
      </c>
      <c r="Y104" t="str">
        <f>INDEX(Department!B:B,MATCH(Table1[[#This Row],[Department ID]],Department!A:A,0))</f>
        <v>Production</v>
      </c>
      <c r="Z104" t="str">
        <f>INDEX(Manager!B:B,MATCH(Table1[[#This Row],[Manger ID]],Manager!A:A,0))</f>
        <v>Michael Albert</v>
      </c>
      <c r="AA104">
        <f ca="1">DATEDIF(Table1[[#This Row],[DOB]],TODAY(), "Y")</f>
        <v>33</v>
      </c>
      <c r="AB104" t="str">
        <f ca="1">IF(Table1[[#This Row],[ Age]]&lt;18,"Less than 18",IF(Table1[[#This Row],[ Age]]&lt;=29,"18-29",IF(Table1[[#This Row],[ Age]]&lt;=49,"30-49",IF(Table1[[#This Row],[ Age]]&lt;=59,"50-59","60 or more"))))</f>
        <v>30-49</v>
      </c>
      <c r="AC104" s="8">
        <f ca="1">IF(ISBLANK(Table1[[#This Row],[DateofTermination]]),DATEDIF(Table1[[#This Row],[DateofHire]],TODAY(), "M"),DATEDIF(Table1[[#This Row],[DateofHire]],Table1[[#This Row],[DateofTermination]],"M"))/12</f>
        <v>9</v>
      </c>
      <c r="AD104" t="str">
        <f>IF(Table1[[#This Row],[EmpSatisfaction]]=1,"Very Dissatisfied", IF(Table1[[#This Row],[EmpSatisfaction]] = 2, "Dissatisfied", IF(Table1[[#This Row],[EmpSatisfaction]]  = 3, "Neutral", IF(Table1[[#This Row],[EmpSatisfaction]] = 4, "Satisfied", IF(Table1[[#This Row],[EmpSatisfaction]]=5,"Very Satisfied", " ")))))</f>
        <v>Neutral</v>
      </c>
      <c r="AE104">
        <f>YEAR(Table1[[#This Row],[DateofHire]])</f>
        <v>2015</v>
      </c>
      <c r="AF104" t="s">
        <v>25</v>
      </c>
    </row>
    <row r="105" spans="1:32" hidden="1" x14ac:dyDescent="0.3">
      <c r="A105" t="s">
        <v>204</v>
      </c>
      <c r="B105">
        <v>10122</v>
      </c>
      <c r="C105" t="s">
        <v>474</v>
      </c>
      <c r="D105" t="s">
        <v>489</v>
      </c>
      <c r="E105">
        <v>10088</v>
      </c>
      <c r="F105" s="1">
        <v>40854</v>
      </c>
      <c r="G105" s="7">
        <v>51505</v>
      </c>
      <c r="H105" t="s">
        <v>499</v>
      </c>
      <c r="I105" s="1">
        <v>25703</v>
      </c>
      <c r="J105" t="s">
        <v>43</v>
      </c>
      <c r="K105" t="s">
        <v>23</v>
      </c>
      <c r="L105" t="s">
        <v>57</v>
      </c>
      <c r="M105" t="s">
        <v>21</v>
      </c>
      <c r="N105">
        <v>2330</v>
      </c>
      <c r="O105" s="1">
        <v>42689</v>
      </c>
      <c r="P105" t="s">
        <v>514</v>
      </c>
      <c r="Q105" t="s">
        <v>32</v>
      </c>
      <c r="R105" t="s">
        <v>59</v>
      </c>
      <c r="S105" t="s">
        <v>36</v>
      </c>
      <c r="T105">
        <v>4.24</v>
      </c>
      <c r="U105">
        <v>4</v>
      </c>
      <c r="V105" s="1">
        <v>42489</v>
      </c>
      <c r="W105">
        <v>2</v>
      </c>
      <c r="X105" t="str">
        <f>INDEX(Position!B:B,MATCH(Table1[[#This Row],[Position ID]],Position!A:A, 0 ))</f>
        <v>Production Technician I</v>
      </c>
      <c r="Y105" t="str">
        <f>INDEX(Department!B:B,MATCH(Table1[[#This Row],[Department ID]],Department!A:A,0))</f>
        <v>Production</v>
      </c>
      <c r="Z105" t="str">
        <f>INDEX(Manager!B:B,MATCH(Table1[[#This Row],[Manger ID]],Manager!A:A,0))</f>
        <v>Elijiah Gray</v>
      </c>
      <c r="AA105">
        <f ca="1">DATEDIF(Table1[[#This Row],[DOB]],TODAY(), "Y")</f>
        <v>53</v>
      </c>
      <c r="AB105" t="str">
        <f ca="1">IF(Table1[[#This Row],[ Age]]&lt;18,"Less than 18",IF(Table1[[#This Row],[ Age]]&lt;=29,"18-29",IF(Table1[[#This Row],[ Age]]&lt;=49,"30-49",IF(Table1[[#This Row],[ Age]]&lt;=59,"50-59","60 or more"))))</f>
        <v>50-59</v>
      </c>
      <c r="AC105" s="8">
        <f ca="1">IF(ISBLANK(Table1[[#This Row],[DateofTermination]]),DATEDIF(Table1[[#This Row],[DateofHire]],TODAY(), "M"),DATEDIF(Table1[[#This Row],[DateofHire]],Table1[[#This Row],[DateofTermination]],"M"))/12</f>
        <v>5</v>
      </c>
      <c r="AD105" t="str">
        <f>IF(Table1[[#This Row],[EmpSatisfaction]]=1,"Very Dissatisfied", IF(Table1[[#This Row],[EmpSatisfaction]] = 2, "Dissatisfied", IF(Table1[[#This Row],[EmpSatisfaction]]  = 3, "Neutral", IF(Table1[[#This Row],[EmpSatisfaction]] = 4, "Satisfied", IF(Table1[[#This Row],[EmpSatisfaction]]=5,"Very Satisfied", " ")))))</f>
        <v>Satisfied</v>
      </c>
      <c r="AE105">
        <f>YEAR(Table1[[#This Row],[DateofHire]])</f>
        <v>2011</v>
      </c>
      <c r="AF105" t="s">
        <v>535</v>
      </c>
    </row>
    <row r="106" spans="1:32" hidden="1" x14ac:dyDescent="0.3">
      <c r="A106" t="s">
        <v>205</v>
      </c>
      <c r="B106">
        <v>10142</v>
      </c>
      <c r="C106" t="s">
        <v>454</v>
      </c>
      <c r="D106" t="s">
        <v>490</v>
      </c>
      <c r="E106">
        <v>10188</v>
      </c>
      <c r="F106" s="1">
        <v>41827</v>
      </c>
      <c r="G106" s="7">
        <v>59370</v>
      </c>
      <c r="H106" t="s">
        <v>499</v>
      </c>
      <c r="I106" s="1">
        <v>26124</v>
      </c>
      <c r="J106" t="s">
        <v>53</v>
      </c>
      <c r="K106" t="s">
        <v>23</v>
      </c>
      <c r="L106" t="s">
        <v>57</v>
      </c>
      <c r="M106" t="s">
        <v>206</v>
      </c>
      <c r="N106">
        <v>43050</v>
      </c>
      <c r="O106" s="1">
        <v>42252</v>
      </c>
      <c r="P106" t="s">
        <v>518</v>
      </c>
      <c r="Q106" t="s">
        <v>75</v>
      </c>
      <c r="R106" t="s">
        <v>87</v>
      </c>
      <c r="S106" t="s">
        <v>36</v>
      </c>
      <c r="T106">
        <v>3.97</v>
      </c>
      <c r="U106">
        <v>4</v>
      </c>
      <c r="V106" s="1">
        <v>41654</v>
      </c>
      <c r="W106">
        <v>7</v>
      </c>
      <c r="X106" t="str">
        <f>INDEX(Position!B:B,MATCH(Table1[[#This Row],[Position ID]],Position!A:A, 0 ))</f>
        <v>Area Sales Manager</v>
      </c>
      <c r="Y106" t="str">
        <f>INDEX(Department!B:B,MATCH(Table1[[#This Row],[Department ID]],Department!A:A,0))</f>
        <v>Sales</v>
      </c>
      <c r="Z106" t="str">
        <f>INDEX(Manager!B:B,MATCH(Table1[[#This Row],[Manger ID]],Manager!A:A,0))</f>
        <v>John Smith</v>
      </c>
      <c r="AA106">
        <f ca="1">DATEDIF(Table1[[#This Row],[DOB]],TODAY(), "Y")</f>
        <v>52</v>
      </c>
      <c r="AB106" t="str">
        <f ca="1">IF(Table1[[#This Row],[ Age]]&lt;18,"Less than 18",IF(Table1[[#This Row],[ Age]]&lt;=29,"18-29",IF(Table1[[#This Row],[ Age]]&lt;=49,"30-49",IF(Table1[[#This Row],[ Age]]&lt;=59,"50-59","60 or more"))))</f>
        <v>50-59</v>
      </c>
      <c r="AC106" s="8">
        <f ca="1">IF(ISBLANK(Table1[[#This Row],[DateofTermination]]),DATEDIF(Table1[[#This Row],[DateofHire]],TODAY(), "M"),DATEDIF(Table1[[#This Row],[DateofHire]],Table1[[#This Row],[DateofTermination]],"M"))/12</f>
        <v>1.0833333333333333</v>
      </c>
      <c r="AD106" t="str">
        <f>IF(Table1[[#This Row],[EmpSatisfaction]]=1,"Very Dissatisfied", IF(Table1[[#This Row],[EmpSatisfaction]] = 2, "Dissatisfied", IF(Table1[[#This Row],[EmpSatisfaction]]  = 3, "Neutral", IF(Table1[[#This Row],[EmpSatisfaction]] = 4, "Satisfied", IF(Table1[[#This Row],[EmpSatisfaction]]=5,"Very Satisfied", " ")))))</f>
        <v>Satisfied</v>
      </c>
      <c r="AE106">
        <f>YEAR(Table1[[#This Row],[DateofHire]])</f>
        <v>2014</v>
      </c>
      <c r="AF106" t="s">
        <v>535</v>
      </c>
    </row>
    <row r="107" spans="1:32" hidden="1" x14ac:dyDescent="0.3">
      <c r="A107" t="s">
        <v>207</v>
      </c>
      <c r="B107">
        <v>10283</v>
      </c>
      <c r="C107" t="s">
        <v>474</v>
      </c>
      <c r="D107" t="s">
        <v>489</v>
      </c>
      <c r="E107">
        <v>10069</v>
      </c>
      <c r="F107" s="1">
        <v>41001</v>
      </c>
      <c r="G107" s="7">
        <v>54933</v>
      </c>
      <c r="H107" t="s">
        <v>498</v>
      </c>
      <c r="I107" s="1">
        <v>27250</v>
      </c>
      <c r="J107" t="s">
        <v>31</v>
      </c>
      <c r="K107" t="s">
        <v>23</v>
      </c>
      <c r="L107" t="s">
        <v>57</v>
      </c>
      <c r="M107" t="s">
        <v>21</v>
      </c>
      <c r="N107">
        <v>2062</v>
      </c>
      <c r="O107" s="1">
        <v>42180</v>
      </c>
      <c r="P107" t="s">
        <v>524</v>
      </c>
      <c r="Q107" t="s">
        <v>32</v>
      </c>
      <c r="R107" t="s">
        <v>59</v>
      </c>
      <c r="S107" t="s">
        <v>88</v>
      </c>
      <c r="T107">
        <v>3.97</v>
      </c>
      <c r="U107">
        <v>4</v>
      </c>
      <c r="V107" s="1">
        <v>42024</v>
      </c>
      <c r="W107">
        <v>15</v>
      </c>
      <c r="X107" t="str">
        <f>INDEX(Position!B:B,MATCH(Table1[[#This Row],[Position ID]],Position!A:A, 0 ))</f>
        <v>Production Technician I</v>
      </c>
      <c r="Y107" t="str">
        <f>INDEX(Department!B:B,MATCH(Table1[[#This Row],[Department ID]],Department!A:A,0))</f>
        <v>Production</v>
      </c>
      <c r="Z107" t="str">
        <f>INDEX(Manager!B:B,MATCH(Table1[[#This Row],[Manger ID]],Manager!A:A,0))</f>
        <v>Webster Butler</v>
      </c>
      <c r="AA107">
        <f ca="1">DATEDIF(Table1[[#This Row],[DOB]],TODAY(), "Y")</f>
        <v>49</v>
      </c>
      <c r="AB107" t="str">
        <f ca="1">IF(Table1[[#This Row],[ Age]]&lt;18,"Less than 18",IF(Table1[[#This Row],[ Age]]&lt;=29,"18-29",IF(Table1[[#This Row],[ Age]]&lt;=49,"30-49",IF(Table1[[#This Row],[ Age]]&lt;=59,"50-59","60 or more"))))</f>
        <v>30-49</v>
      </c>
      <c r="AC107" s="8">
        <f ca="1">IF(ISBLANK(Table1[[#This Row],[DateofTermination]]),DATEDIF(Table1[[#This Row],[DateofHire]],TODAY(), "M"),DATEDIF(Table1[[#This Row],[DateofHire]],Table1[[#This Row],[DateofTermination]],"M"))/12</f>
        <v>3.1666666666666665</v>
      </c>
      <c r="AD107" t="str">
        <f>IF(Table1[[#This Row],[EmpSatisfaction]]=1,"Very Dissatisfied", IF(Table1[[#This Row],[EmpSatisfaction]] = 2, "Dissatisfied", IF(Table1[[#This Row],[EmpSatisfaction]]  = 3, "Neutral", IF(Table1[[#This Row],[EmpSatisfaction]] = 4, "Satisfied", IF(Table1[[#This Row],[EmpSatisfaction]]=5,"Very Satisfied", " ")))))</f>
        <v>Satisfied</v>
      </c>
      <c r="AE107">
        <f>YEAR(Table1[[#This Row],[DateofHire]])</f>
        <v>2012</v>
      </c>
      <c r="AF107" t="s">
        <v>535</v>
      </c>
    </row>
    <row r="108" spans="1:32" x14ac:dyDescent="0.3">
      <c r="A108" t="s">
        <v>208</v>
      </c>
      <c r="B108">
        <v>10018</v>
      </c>
      <c r="C108" t="s">
        <v>474</v>
      </c>
      <c r="D108" t="s">
        <v>489</v>
      </c>
      <c r="E108">
        <v>10002</v>
      </c>
      <c r="F108" s="1">
        <v>41911</v>
      </c>
      <c r="G108" s="7">
        <v>57815</v>
      </c>
      <c r="H108" t="s">
        <v>499</v>
      </c>
      <c r="I108" s="1">
        <v>29349</v>
      </c>
      <c r="J108" t="s">
        <v>22</v>
      </c>
      <c r="K108" t="s">
        <v>23</v>
      </c>
      <c r="L108" t="s">
        <v>70</v>
      </c>
      <c r="M108" t="s">
        <v>21</v>
      </c>
      <c r="N108">
        <v>2451</v>
      </c>
      <c r="P108" t="s">
        <v>512</v>
      </c>
      <c r="Q108" t="s">
        <v>25</v>
      </c>
      <c r="R108" t="s">
        <v>35</v>
      </c>
      <c r="S108" t="s">
        <v>28</v>
      </c>
      <c r="T108">
        <v>3.9</v>
      </c>
      <c r="U108">
        <v>4</v>
      </c>
      <c r="V108" s="1">
        <v>43503</v>
      </c>
      <c r="W108">
        <v>3</v>
      </c>
      <c r="X108" t="str">
        <f>INDEX(Position!B:B,MATCH(Table1[[#This Row],[Position ID]],Position!A:A, 0 ))</f>
        <v>Production Technician I</v>
      </c>
      <c r="Y108" t="str">
        <f>INDEX(Department!B:B,MATCH(Table1[[#This Row],[Department ID]],Department!A:A,0))</f>
        <v>Production</v>
      </c>
      <c r="Z108" t="str">
        <f>INDEX(Manager!B:B,MATCH(Table1[[#This Row],[Manger ID]],Manager!A:A,0))</f>
        <v>Amy Dunn</v>
      </c>
      <c r="AA108">
        <f ca="1">DATEDIF(Table1[[#This Row],[DOB]],TODAY(), "Y")</f>
        <v>43</v>
      </c>
      <c r="AB108" t="str">
        <f ca="1">IF(Table1[[#This Row],[ Age]]&lt;18,"Less than 18",IF(Table1[[#This Row],[ Age]]&lt;=29,"18-29",IF(Table1[[#This Row],[ Age]]&lt;=49,"30-49",IF(Table1[[#This Row],[ Age]]&lt;=59,"50-59","60 or more"))))</f>
        <v>30-49</v>
      </c>
      <c r="AC108" s="8">
        <f ca="1">IF(ISBLANK(Table1[[#This Row],[DateofTermination]]),DATEDIF(Table1[[#This Row],[DateofHire]],TODAY(), "M"),DATEDIF(Table1[[#This Row],[DateofHire]],Table1[[#This Row],[DateofTermination]],"M"))/12</f>
        <v>9.5</v>
      </c>
      <c r="AD108" t="str">
        <f>IF(Table1[[#This Row],[EmpSatisfaction]]=1,"Very Dissatisfied", IF(Table1[[#This Row],[EmpSatisfaction]] = 2, "Dissatisfied", IF(Table1[[#This Row],[EmpSatisfaction]]  = 3, "Neutral", IF(Table1[[#This Row],[EmpSatisfaction]] = 4, "Satisfied", IF(Table1[[#This Row],[EmpSatisfaction]]=5,"Very Satisfied", " ")))))</f>
        <v>Satisfied</v>
      </c>
      <c r="AE108">
        <f>YEAR(Table1[[#This Row],[DateofHire]])</f>
        <v>2014</v>
      </c>
      <c r="AF108" t="s">
        <v>25</v>
      </c>
    </row>
    <row r="109" spans="1:32" x14ac:dyDescent="0.3">
      <c r="A109" t="s">
        <v>209</v>
      </c>
      <c r="B109">
        <v>10255</v>
      </c>
      <c r="C109" t="s">
        <v>454</v>
      </c>
      <c r="D109" t="s">
        <v>490</v>
      </c>
      <c r="E109">
        <v>10200</v>
      </c>
      <c r="F109" s="1">
        <v>42051</v>
      </c>
      <c r="G109" s="7">
        <v>61555</v>
      </c>
      <c r="H109" t="s">
        <v>499</v>
      </c>
      <c r="I109" s="1">
        <v>32773</v>
      </c>
      <c r="J109" t="s">
        <v>22</v>
      </c>
      <c r="K109" t="s">
        <v>23</v>
      </c>
      <c r="L109" t="s">
        <v>24</v>
      </c>
      <c r="M109" t="s">
        <v>210</v>
      </c>
      <c r="N109">
        <v>46204</v>
      </c>
      <c r="P109" t="s">
        <v>512</v>
      </c>
      <c r="Q109" t="s">
        <v>25</v>
      </c>
      <c r="R109" t="s">
        <v>35</v>
      </c>
      <c r="S109" t="s">
        <v>36</v>
      </c>
      <c r="T109">
        <v>4.5</v>
      </c>
      <c r="U109">
        <v>5</v>
      </c>
      <c r="V109" s="1">
        <v>43490</v>
      </c>
      <c r="W109">
        <v>20</v>
      </c>
      <c r="X109" t="str">
        <f>INDEX(Position!B:B,MATCH(Table1[[#This Row],[Position ID]],Position!A:A, 0 ))</f>
        <v>Area Sales Manager</v>
      </c>
      <c r="Y109" t="str">
        <f>INDEX(Department!B:B,MATCH(Table1[[#This Row],[Department ID]],Department!A:A,0))</f>
        <v>Sales</v>
      </c>
      <c r="Z109" t="str">
        <f>INDEX(Manager!B:B,MATCH(Table1[[#This Row],[Manger ID]],Manager!A:A,0))</f>
        <v>Lynn Daneault</v>
      </c>
      <c r="AA109">
        <f ca="1">DATEDIF(Table1[[#This Row],[DOB]],TODAY(), "Y")</f>
        <v>34</v>
      </c>
      <c r="AB109" t="str">
        <f ca="1">IF(Table1[[#This Row],[ Age]]&lt;18,"Less than 18",IF(Table1[[#This Row],[ Age]]&lt;=29,"18-29",IF(Table1[[#This Row],[ Age]]&lt;=49,"30-49",IF(Table1[[#This Row],[ Age]]&lt;=59,"50-59","60 or more"))))</f>
        <v>30-49</v>
      </c>
      <c r="AC109" s="8">
        <f ca="1">IF(ISBLANK(Table1[[#This Row],[DateofTermination]]),DATEDIF(Table1[[#This Row],[DateofHire]],TODAY(), "M"),DATEDIF(Table1[[#This Row],[DateofHire]],Table1[[#This Row],[DateofTermination]],"M"))/12</f>
        <v>9.0833333333333339</v>
      </c>
      <c r="AD109" t="str">
        <f>IF(Table1[[#This Row],[EmpSatisfaction]]=1,"Very Dissatisfied", IF(Table1[[#This Row],[EmpSatisfaction]] = 2, "Dissatisfied", IF(Table1[[#This Row],[EmpSatisfaction]]  = 3, "Neutral", IF(Table1[[#This Row],[EmpSatisfaction]] = 4, "Satisfied", IF(Table1[[#This Row],[EmpSatisfaction]]=5,"Very Satisfied", " ")))))</f>
        <v>Very Satisfied</v>
      </c>
      <c r="AE109">
        <f>YEAR(Table1[[#This Row],[DateofHire]])</f>
        <v>2015</v>
      </c>
      <c r="AF109" t="s">
        <v>25</v>
      </c>
    </row>
    <row r="110" spans="1:32" hidden="1" x14ac:dyDescent="0.3">
      <c r="A110" t="s">
        <v>211</v>
      </c>
      <c r="B110">
        <v>10246</v>
      </c>
      <c r="C110" t="s">
        <v>461</v>
      </c>
      <c r="D110" t="s">
        <v>488</v>
      </c>
      <c r="E110">
        <v>10084</v>
      </c>
      <c r="F110" s="1">
        <v>42051</v>
      </c>
      <c r="G110" s="7">
        <v>114800</v>
      </c>
      <c r="H110" t="s">
        <v>499</v>
      </c>
      <c r="I110" s="1">
        <v>26229</v>
      </c>
      <c r="J110" t="s">
        <v>22</v>
      </c>
      <c r="K110" t="s">
        <v>23</v>
      </c>
      <c r="L110" t="s">
        <v>24</v>
      </c>
      <c r="M110" t="s">
        <v>21</v>
      </c>
      <c r="N110">
        <v>2127</v>
      </c>
      <c r="O110" s="1">
        <v>42078</v>
      </c>
      <c r="P110" t="s">
        <v>525</v>
      </c>
      <c r="Q110" t="s">
        <v>75</v>
      </c>
      <c r="R110" t="s">
        <v>35</v>
      </c>
      <c r="S110" t="s">
        <v>36</v>
      </c>
      <c r="T110">
        <v>4.5999999999999996</v>
      </c>
      <c r="U110">
        <v>4</v>
      </c>
      <c r="V110" s="1">
        <v>42024</v>
      </c>
      <c r="W110">
        <v>10</v>
      </c>
      <c r="X110" t="str">
        <f>INDEX(Position!B:B,MATCH(Table1[[#This Row],[Position ID]],Position!A:A, 0 ))</f>
        <v>Database Administrator</v>
      </c>
      <c r="Y110" t="str">
        <f>INDEX(Department!B:B,MATCH(Table1[[#This Row],[Department ID]],Department!A:A,0))</f>
        <v>IT/IS</v>
      </c>
      <c r="Z110" t="str">
        <f>INDEX(Manager!B:B,MATCH(Table1[[#This Row],[Manger ID]],Manager!A:A,0))</f>
        <v>Simon Roup</v>
      </c>
      <c r="AA110">
        <f ca="1">DATEDIF(Table1[[#This Row],[DOB]],TODAY(), "Y")</f>
        <v>52</v>
      </c>
      <c r="AB110" t="str">
        <f ca="1">IF(Table1[[#This Row],[ Age]]&lt;18,"Less than 18",IF(Table1[[#This Row],[ Age]]&lt;=29,"18-29",IF(Table1[[#This Row],[ Age]]&lt;=49,"30-49",IF(Table1[[#This Row],[ Age]]&lt;=59,"50-59","60 or more"))))</f>
        <v>50-59</v>
      </c>
      <c r="AC110" s="8">
        <f ca="1">IF(ISBLANK(Table1[[#This Row],[DateofTermination]]),DATEDIF(Table1[[#This Row],[DateofHire]],TODAY(), "M"),DATEDIF(Table1[[#This Row],[DateofHire]],Table1[[#This Row],[DateofTermination]],"M"))/12</f>
        <v>0</v>
      </c>
      <c r="AD110" t="str">
        <f>IF(Table1[[#This Row],[EmpSatisfaction]]=1,"Very Dissatisfied", IF(Table1[[#This Row],[EmpSatisfaction]] = 2, "Dissatisfied", IF(Table1[[#This Row],[EmpSatisfaction]]  = 3, "Neutral", IF(Table1[[#This Row],[EmpSatisfaction]] = 4, "Satisfied", IF(Table1[[#This Row],[EmpSatisfaction]]=5,"Very Satisfied", " ")))))</f>
        <v>Satisfied</v>
      </c>
      <c r="AE110">
        <f>YEAR(Table1[[#This Row],[DateofHire]])</f>
        <v>2015</v>
      </c>
      <c r="AF110" t="s">
        <v>535</v>
      </c>
    </row>
    <row r="111" spans="1:32" x14ac:dyDescent="0.3">
      <c r="A111" t="s">
        <v>212</v>
      </c>
      <c r="B111">
        <v>10228</v>
      </c>
      <c r="C111" t="s">
        <v>469</v>
      </c>
      <c r="D111" t="s">
        <v>488</v>
      </c>
      <c r="E111">
        <v>10250</v>
      </c>
      <c r="F111" s="1">
        <v>42093</v>
      </c>
      <c r="G111" s="7">
        <v>74679</v>
      </c>
      <c r="H111" t="s">
        <v>498</v>
      </c>
      <c r="I111" s="1">
        <v>32836</v>
      </c>
      <c r="J111" t="s">
        <v>31</v>
      </c>
      <c r="K111" t="s">
        <v>23</v>
      </c>
      <c r="L111" t="s">
        <v>24</v>
      </c>
      <c r="M111" t="s">
        <v>21</v>
      </c>
      <c r="N111">
        <v>2135</v>
      </c>
      <c r="P111" t="s">
        <v>512</v>
      </c>
      <c r="Q111" t="s">
        <v>25</v>
      </c>
      <c r="R111" t="s">
        <v>27</v>
      </c>
      <c r="S111" t="s">
        <v>36</v>
      </c>
      <c r="T111">
        <v>4.3</v>
      </c>
      <c r="U111">
        <v>5</v>
      </c>
      <c r="V111" s="1">
        <v>43475</v>
      </c>
      <c r="W111">
        <v>20</v>
      </c>
      <c r="X111" t="str">
        <f>INDEX(Position!B:B,MATCH(Table1[[#This Row],[Position ID]],Position!A:A, 0 ))</f>
        <v>IT Support</v>
      </c>
      <c r="Y111" t="str">
        <f>INDEX(Department!B:B,MATCH(Table1[[#This Row],[Department ID]],Department!A:A,0))</f>
        <v>IT/IS</v>
      </c>
      <c r="Z111" t="str">
        <f>INDEX(Manager!B:B,MATCH(Table1[[#This Row],[Manger ID]],Manager!A:A,0))</f>
        <v>Peter Monroe</v>
      </c>
      <c r="AA111">
        <f ca="1">DATEDIF(Table1[[#This Row],[DOB]],TODAY(), "Y")</f>
        <v>34</v>
      </c>
      <c r="AB111" t="str">
        <f ca="1">IF(Table1[[#This Row],[ Age]]&lt;18,"Less than 18",IF(Table1[[#This Row],[ Age]]&lt;=29,"18-29",IF(Table1[[#This Row],[ Age]]&lt;=49,"30-49",IF(Table1[[#This Row],[ Age]]&lt;=59,"50-59","60 or more"))))</f>
        <v>30-49</v>
      </c>
      <c r="AC111" s="8">
        <f ca="1">IF(ISBLANK(Table1[[#This Row],[DateofTermination]]),DATEDIF(Table1[[#This Row],[DateofHire]],TODAY(), "M"),DATEDIF(Table1[[#This Row],[DateofHire]],Table1[[#This Row],[DateofTermination]],"M"))/12</f>
        <v>9</v>
      </c>
      <c r="AD111" t="str">
        <f>IF(Table1[[#This Row],[EmpSatisfaction]]=1,"Very Dissatisfied", IF(Table1[[#This Row],[EmpSatisfaction]] = 2, "Dissatisfied", IF(Table1[[#This Row],[EmpSatisfaction]]  = 3, "Neutral", IF(Table1[[#This Row],[EmpSatisfaction]] = 4, "Satisfied", IF(Table1[[#This Row],[EmpSatisfaction]]=5,"Very Satisfied", " ")))))</f>
        <v>Very Satisfied</v>
      </c>
      <c r="AE111">
        <f>YEAR(Table1[[#This Row],[DateofHire]])</f>
        <v>2015</v>
      </c>
      <c r="AF111" t="s">
        <v>25</v>
      </c>
    </row>
    <row r="112" spans="1:32" x14ac:dyDescent="0.3">
      <c r="A112" t="s">
        <v>213</v>
      </c>
      <c r="B112">
        <v>10243</v>
      </c>
      <c r="C112" t="s">
        <v>474</v>
      </c>
      <c r="D112" t="s">
        <v>489</v>
      </c>
      <c r="E112">
        <v>10062</v>
      </c>
      <c r="F112" s="1">
        <v>41589</v>
      </c>
      <c r="G112" s="7">
        <v>53018</v>
      </c>
      <c r="H112" t="s">
        <v>499</v>
      </c>
      <c r="I112" s="1">
        <v>33773</v>
      </c>
      <c r="J112" t="s">
        <v>22</v>
      </c>
      <c r="K112" t="s">
        <v>23</v>
      </c>
      <c r="L112" t="s">
        <v>24</v>
      </c>
      <c r="M112" t="s">
        <v>21</v>
      </c>
      <c r="N112">
        <v>2451</v>
      </c>
      <c r="P112" t="s">
        <v>512</v>
      </c>
      <c r="Q112" t="s">
        <v>25</v>
      </c>
      <c r="R112" t="s">
        <v>35</v>
      </c>
      <c r="S112" t="s">
        <v>36</v>
      </c>
      <c r="T112">
        <v>4.3</v>
      </c>
      <c r="U112">
        <v>5</v>
      </c>
      <c r="V112" s="1">
        <v>43514</v>
      </c>
      <c r="W112">
        <v>7</v>
      </c>
      <c r="X112" t="str">
        <f>INDEX(Position!B:B,MATCH(Table1[[#This Row],[Position ID]],Position!A:A, 0 ))</f>
        <v>Production Technician I</v>
      </c>
      <c r="Y112" t="str">
        <f>INDEX(Department!B:B,MATCH(Table1[[#This Row],[Department ID]],Department!A:A,0))</f>
        <v>Production</v>
      </c>
      <c r="Z112" t="str">
        <f>INDEX(Manager!B:B,MATCH(Table1[[#This Row],[Manger ID]],Manager!A:A,0))</f>
        <v>Ketsia Liebig</v>
      </c>
      <c r="AA112">
        <f ca="1">DATEDIF(Table1[[#This Row],[DOB]],TODAY(), "Y")</f>
        <v>31</v>
      </c>
      <c r="AB112" t="str">
        <f ca="1">IF(Table1[[#This Row],[ Age]]&lt;18,"Less than 18",IF(Table1[[#This Row],[ Age]]&lt;=29,"18-29",IF(Table1[[#This Row],[ Age]]&lt;=49,"30-49",IF(Table1[[#This Row],[ Age]]&lt;=59,"50-59","60 or more"))))</f>
        <v>30-49</v>
      </c>
      <c r="AC112" s="8">
        <f ca="1">IF(ISBLANK(Table1[[#This Row],[DateofTermination]]),DATEDIF(Table1[[#This Row],[DateofHire]],TODAY(), "M"),DATEDIF(Table1[[#This Row],[DateofHire]],Table1[[#This Row],[DateofTermination]],"M"))/12</f>
        <v>10.333333333333334</v>
      </c>
      <c r="AD112" t="str">
        <f>IF(Table1[[#This Row],[EmpSatisfaction]]=1,"Very Dissatisfied", IF(Table1[[#This Row],[EmpSatisfaction]] = 2, "Dissatisfied", IF(Table1[[#This Row],[EmpSatisfaction]]  = 3, "Neutral", IF(Table1[[#This Row],[EmpSatisfaction]] = 4, "Satisfied", IF(Table1[[#This Row],[EmpSatisfaction]]=5,"Very Satisfied", " ")))))</f>
        <v>Very Satisfied</v>
      </c>
      <c r="AE112">
        <f>YEAR(Table1[[#This Row],[DateofHire]])</f>
        <v>2013</v>
      </c>
      <c r="AF112" t="s">
        <v>25</v>
      </c>
    </row>
    <row r="113" spans="1:32" x14ac:dyDescent="0.3">
      <c r="A113" t="s">
        <v>214</v>
      </c>
      <c r="B113">
        <v>10031</v>
      </c>
      <c r="C113" t="s">
        <v>474</v>
      </c>
      <c r="D113" t="s">
        <v>489</v>
      </c>
      <c r="E113">
        <v>10114</v>
      </c>
      <c r="F113" s="1">
        <v>40735</v>
      </c>
      <c r="G113" s="7">
        <v>59892</v>
      </c>
      <c r="H113" t="s">
        <v>498</v>
      </c>
      <c r="I113" s="1">
        <v>25475</v>
      </c>
      <c r="J113" t="s">
        <v>43</v>
      </c>
      <c r="K113" t="s">
        <v>23</v>
      </c>
      <c r="L113" t="s">
        <v>57</v>
      </c>
      <c r="M113" t="s">
        <v>21</v>
      </c>
      <c r="N113">
        <v>2108</v>
      </c>
      <c r="P113" t="s">
        <v>512</v>
      </c>
      <c r="Q113" t="s">
        <v>25</v>
      </c>
      <c r="R113" t="s">
        <v>59</v>
      </c>
      <c r="S113" t="s">
        <v>28</v>
      </c>
      <c r="T113">
        <v>4.5</v>
      </c>
      <c r="U113">
        <v>4</v>
      </c>
      <c r="V113" s="1">
        <v>43514</v>
      </c>
      <c r="W113">
        <v>1</v>
      </c>
      <c r="X113" t="str">
        <f>INDEX(Position!B:B,MATCH(Table1[[#This Row],[Position ID]],Position!A:A, 0 ))</f>
        <v>Production Technician I</v>
      </c>
      <c r="Y113" t="str">
        <f>INDEX(Department!B:B,MATCH(Table1[[#This Row],[Department ID]],Department!A:A,0))</f>
        <v>Production</v>
      </c>
      <c r="Z113" t="str">
        <f>INDEX(Manager!B:B,MATCH(Table1[[#This Row],[Manger ID]],Manager!A:A,0))</f>
        <v>Brannon Miller</v>
      </c>
      <c r="AA113">
        <f ca="1">DATEDIF(Table1[[#This Row],[DOB]],TODAY(), "Y")</f>
        <v>54</v>
      </c>
      <c r="AB113" t="str">
        <f ca="1">IF(Table1[[#This Row],[ Age]]&lt;18,"Less than 18",IF(Table1[[#This Row],[ Age]]&lt;=29,"18-29",IF(Table1[[#This Row],[ Age]]&lt;=49,"30-49",IF(Table1[[#This Row],[ Age]]&lt;=59,"50-59","60 or more"))))</f>
        <v>50-59</v>
      </c>
      <c r="AC113" s="8">
        <f ca="1">IF(ISBLANK(Table1[[#This Row],[DateofTermination]]),DATEDIF(Table1[[#This Row],[DateofHire]],TODAY(), "M"),DATEDIF(Table1[[#This Row],[DateofHire]],Table1[[#This Row],[DateofTermination]],"M"))/12</f>
        <v>12.666666666666666</v>
      </c>
      <c r="AD113" t="str">
        <f>IF(Table1[[#This Row],[EmpSatisfaction]]=1,"Very Dissatisfied", IF(Table1[[#This Row],[EmpSatisfaction]] = 2, "Dissatisfied", IF(Table1[[#This Row],[EmpSatisfaction]]  = 3, "Neutral", IF(Table1[[#This Row],[EmpSatisfaction]] = 4, "Satisfied", IF(Table1[[#This Row],[EmpSatisfaction]]=5,"Very Satisfied", " ")))))</f>
        <v>Satisfied</v>
      </c>
      <c r="AE113">
        <f>YEAR(Table1[[#This Row],[DateofHire]])</f>
        <v>2011</v>
      </c>
      <c r="AF113" t="s">
        <v>25</v>
      </c>
    </row>
    <row r="114" spans="1:32" hidden="1" x14ac:dyDescent="0.3">
      <c r="A114" t="s">
        <v>215</v>
      </c>
      <c r="B114">
        <v>10300</v>
      </c>
      <c r="C114" t="s">
        <v>475</v>
      </c>
      <c r="D114" t="s">
        <v>489</v>
      </c>
      <c r="E114">
        <v>10114</v>
      </c>
      <c r="F114" s="1">
        <v>40294</v>
      </c>
      <c r="G114" s="7">
        <v>68898</v>
      </c>
      <c r="H114" t="s">
        <v>498</v>
      </c>
      <c r="I114" s="1">
        <v>23662</v>
      </c>
      <c r="J114" t="s">
        <v>31</v>
      </c>
      <c r="K114" t="s">
        <v>23</v>
      </c>
      <c r="L114" t="s">
        <v>57</v>
      </c>
      <c r="M114" t="s">
        <v>21</v>
      </c>
      <c r="N114">
        <v>2128</v>
      </c>
      <c r="O114" s="1">
        <v>40693</v>
      </c>
      <c r="P114" t="s">
        <v>513</v>
      </c>
      <c r="Q114" t="s">
        <v>32</v>
      </c>
      <c r="R114" t="s">
        <v>59</v>
      </c>
      <c r="S114" t="s">
        <v>158</v>
      </c>
      <c r="T114">
        <v>3</v>
      </c>
      <c r="U114">
        <v>3</v>
      </c>
      <c r="V114" s="1">
        <v>40608</v>
      </c>
      <c r="W114">
        <v>10</v>
      </c>
      <c r="X114" t="str">
        <f>INDEX(Position!B:B,MATCH(Table1[[#This Row],[Position ID]],Position!A:A, 0 ))</f>
        <v>Production Technician II</v>
      </c>
      <c r="Y114" t="str">
        <f>INDEX(Department!B:B,MATCH(Table1[[#This Row],[Department ID]],Department!A:A,0))</f>
        <v>Production</v>
      </c>
      <c r="Z114" t="str">
        <f>INDEX(Manager!B:B,MATCH(Table1[[#This Row],[Manger ID]],Manager!A:A,0))</f>
        <v>Brannon Miller</v>
      </c>
      <c r="AA114">
        <f ca="1">DATEDIF(Table1[[#This Row],[DOB]],TODAY(), "Y")</f>
        <v>59</v>
      </c>
      <c r="AB114" t="str">
        <f ca="1">IF(Table1[[#This Row],[ Age]]&lt;18,"Less than 18",IF(Table1[[#This Row],[ Age]]&lt;=29,"18-29",IF(Table1[[#This Row],[ Age]]&lt;=49,"30-49",IF(Table1[[#This Row],[ Age]]&lt;=59,"50-59","60 or more"))))</f>
        <v>50-59</v>
      </c>
      <c r="AC114" s="8">
        <f ca="1">IF(ISBLANK(Table1[[#This Row],[DateofTermination]]),DATEDIF(Table1[[#This Row],[DateofHire]],TODAY(), "M"),DATEDIF(Table1[[#This Row],[DateofHire]],Table1[[#This Row],[DateofTermination]],"M"))/12</f>
        <v>1.0833333333333333</v>
      </c>
      <c r="AD114" t="str">
        <f>IF(Table1[[#This Row],[EmpSatisfaction]]=1,"Very Dissatisfied", IF(Table1[[#This Row],[EmpSatisfaction]] = 2, "Dissatisfied", IF(Table1[[#This Row],[EmpSatisfaction]]  = 3, "Neutral", IF(Table1[[#This Row],[EmpSatisfaction]] = 4, "Satisfied", IF(Table1[[#This Row],[EmpSatisfaction]]=5,"Very Satisfied", " ")))))</f>
        <v>Neutral</v>
      </c>
      <c r="AE114">
        <f>YEAR(Table1[[#This Row],[DateofHire]])</f>
        <v>2010</v>
      </c>
      <c r="AF114" t="s">
        <v>535</v>
      </c>
    </row>
    <row r="115" spans="1:32" x14ac:dyDescent="0.3">
      <c r="A115" t="s">
        <v>216</v>
      </c>
      <c r="B115">
        <v>10101</v>
      </c>
      <c r="C115" t="s">
        <v>469</v>
      </c>
      <c r="D115" t="s">
        <v>488</v>
      </c>
      <c r="E115">
        <v>10250</v>
      </c>
      <c r="F115" s="1">
        <v>42009</v>
      </c>
      <c r="G115" s="7">
        <v>61242</v>
      </c>
      <c r="H115" t="s">
        <v>499</v>
      </c>
      <c r="I115" s="1">
        <v>29692</v>
      </c>
      <c r="J115" t="s">
        <v>105</v>
      </c>
      <c r="K115" t="s">
        <v>23</v>
      </c>
      <c r="L115" t="s">
        <v>24</v>
      </c>
      <c r="M115" t="s">
        <v>21</v>
      </c>
      <c r="N115">
        <v>2472</v>
      </c>
      <c r="P115" t="s">
        <v>512</v>
      </c>
      <c r="Q115" t="s">
        <v>25</v>
      </c>
      <c r="R115" t="s">
        <v>55</v>
      </c>
      <c r="S115" t="s">
        <v>36</v>
      </c>
      <c r="T115">
        <v>4.6100000000000003</v>
      </c>
      <c r="U115">
        <v>4</v>
      </c>
      <c r="V115" s="1">
        <v>43493</v>
      </c>
      <c r="W115">
        <v>11</v>
      </c>
      <c r="X115" t="str">
        <f>INDEX(Position!B:B,MATCH(Table1[[#This Row],[Position ID]],Position!A:A, 0 ))</f>
        <v>IT Support</v>
      </c>
      <c r="Y115" t="str">
        <f>INDEX(Department!B:B,MATCH(Table1[[#This Row],[Department ID]],Department!A:A,0))</f>
        <v>IT/IS</v>
      </c>
      <c r="Z115" t="str">
        <f>INDEX(Manager!B:B,MATCH(Table1[[#This Row],[Manger ID]],Manager!A:A,0))</f>
        <v>Peter Monroe</v>
      </c>
      <c r="AA115">
        <f ca="1">DATEDIF(Table1[[#This Row],[DOB]],TODAY(), "Y")</f>
        <v>42</v>
      </c>
      <c r="AB115" t="str">
        <f ca="1">IF(Table1[[#This Row],[ Age]]&lt;18,"Less than 18",IF(Table1[[#This Row],[ Age]]&lt;=29,"18-29",IF(Table1[[#This Row],[ Age]]&lt;=49,"30-49",IF(Table1[[#This Row],[ Age]]&lt;=59,"50-59","60 or more"))))</f>
        <v>30-49</v>
      </c>
      <c r="AC115" s="8">
        <f ca="1">IF(ISBLANK(Table1[[#This Row],[DateofTermination]]),DATEDIF(Table1[[#This Row],[DateofHire]],TODAY(), "M"),DATEDIF(Table1[[#This Row],[DateofHire]],Table1[[#This Row],[DateofTermination]],"M"))/12</f>
        <v>9.25</v>
      </c>
      <c r="AD115" t="str">
        <f>IF(Table1[[#This Row],[EmpSatisfaction]]=1,"Very Dissatisfied", IF(Table1[[#This Row],[EmpSatisfaction]] = 2, "Dissatisfied", IF(Table1[[#This Row],[EmpSatisfaction]]  = 3, "Neutral", IF(Table1[[#This Row],[EmpSatisfaction]] = 4, "Satisfied", IF(Table1[[#This Row],[EmpSatisfaction]]=5,"Very Satisfied", " ")))))</f>
        <v>Satisfied</v>
      </c>
      <c r="AE115">
        <f>YEAR(Table1[[#This Row],[DateofHire]])</f>
        <v>2015</v>
      </c>
      <c r="AF115" t="s">
        <v>25</v>
      </c>
    </row>
    <row r="116" spans="1:32" x14ac:dyDescent="0.3">
      <c r="A116" t="s">
        <v>217</v>
      </c>
      <c r="B116">
        <v>10237</v>
      </c>
      <c r="C116" t="s">
        <v>475</v>
      </c>
      <c r="D116" t="s">
        <v>489</v>
      </c>
      <c r="E116">
        <v>10252</v>
      </c>
      <c r="F116" s="1">
        <v>41771</v>
      </c>
      <c r="G116" s="7">
        <v>66825</v>
      </c>
      <c r="H116" t="s">
        <v>499</v>
      </c>
      <c r="I116" s="1">
        <v>31557</v>
      </c>
      <c r="J116" t="s">
        <v>31</v>
      </c>
      <c r="K116" t="s">
        <v>23</v>
      </c>
      <c r="L116" t="s">
        <v>24</v>
      </c>
      <c r="M116" t="s">
        <v>21</v>
      </c>
      <c r="N116">
        <v>1886</v>
      </c>
      <c r="P116" t="s">
        <v>512</v>
      </c>
      <c r="Q116" t="s">
        <v>25</v>
      </c>
      <c r="R116" t="s">
        <v>27</v>
      </c>
      <c r="S116" t="s">
        <v>36</v>
      </c>
      <c r="T116">
        <v>4.5999999999999996</v>
      </c>
      <c r="U116">
        <v>3</v>
      </c>
      <c r="V116" s="1">
        <v>43503</v>
      </c>
      <c r="W116">
        <v>20</v>
      </c>
      <c r="X116" t="str">
        <f>INDEX(Position!B:B,MATCH(Table1[[#This Row],[Position ID]],Position!A:A, 0 ))</f>
        <v>Production Technician II</v>
      </c>
      <c r="Y116" t="str">
        <f>INDEX(Department!B:B,MATCH(Table1[[#This Row],[Department ID]],Department!A:A,0))</f>
        <v>Production</v>
      </c>
      <c r="Z116" t="str">
        <f>INDEX(Manager!B:B,MATCH(Table1[[#This Row],[Manger ID]],Manager!A:A,0))</f>
        <v>David Stanley</v>
      </c>
      <c r="AA116">
        <f ca="1">DATEDIF(Table1[[#This Row],[DOB]],TODAY(), "Y")</f>
        <v>37</v>
      </c>
      <c r="AB116" t="str">
        <f ca="1">IF(Table1[[#This Row],[ Age]]&lt;18,"Less than 18",IF(Table1[[#This Row],[ Age]]&lt;=29,"18-29",IF(Table1[[#This Row],[ Age]]&lt;=49,"30-49",IF(Table1[[#This Row],[ Age]]&lt;=59,"50-59","60 or more"))))</f>
        <v>30-49</v>
      </c>
      <c r="AC116" s="8">
        <f ca="1">IF(ISBLANK(Table1[[#This Row],[DateofTermination]]),DATEDIF(Table1[[#This Row],[DateofHire]],TODAY(), "M"),DATEDIF(Table1[[#This Row],[DateofHire]],Table1[[#This Row],[DateofTermination]],"M"))/12</f>
        <v>9.8333333333333339</v>
      </c>
      <c r="AD116" t="str">
        <f>IF(Table1[[#This Row],[EmpSatisfaction]]=1,"Very Dissatisfied", IF(Table1[[#This Row],[EmpSatisfaction]] = 2, "Dissatisfied", IF(Table1[[#This Row],[EmpSatisfaction]]  = 3, "Neutral", IF(Table1[[#This Row],[EmpSatisfaction]] = 4, "Satisfied", IF(Table1[[#This Row],[EmpSatisfaction]]=5,"Very Satisfied", " ")))))</f>
        <v>Neutral</v>
      </c>
      <c r="AE116">
        <f>YEAR(Table1[[#This Row],[DateofHire]])</f>
        <v>2014</v>
      </c>
      <c r="AF116" t="s">
        <v>25</v>
      </c>
    </row>
    <row r="117" spans="1:32" x14ac:dyDescent="0.3">
      <c r="A117" t="s">
        <v>218</v>
      </c>
      <c r="B117">
        <v>10051</v>
      </c>
      <c r="C117" t="s">
        <v>474</v>
      </c>
      <c r="D117" t="s">
        <v>489</v>
      </c>
      <c r="E117">
        <v>10252</v>
      </c>
      <c r="F117" s="1">
        <v>41092</v>
      </c>
      <c r="G117" s="7">
        <v>48285</v>
      </c>
      <c r="H117" t="s">
        <v>498</v>
      </c>
      <c r="I117" s="1">
        <v>28996</v>
      </c>
      <c r="J117" t="s">
        <v>31</v>
      </c>
      <c r="K117" t="s">
        <v>23</v>
      </c>
      <c r="L117" t="s">
        <v>24</v>
      </c>
      <c r="M117" t="s">
        <v>21</v>
      </c>
      <c r="N117">
        <v>2169</v>
      </c>
      <c r="P117" t="s">
        <v>512</v>
      </c>
      <c r="Q117" t="s">
        <v>25</v>
      </c>
      <c r="R117" t="s">
        <v>27</v>
      </c>
      <c r="S117" t="s">
        <v>36</v>
      </c>
      <c r="T117">
        <v>5</v>
      </c>
      <c r="U117">
        <v>3</v>
      </c>
      <c r="V117" s="1">
        <v>43479</v>
      </c>
      <c r="W117">
        <v>2</v>
      </c>
      <c r="X117" t="str">
        <f>INDEX(Position!B:B,MATCH(Table1[[#This Row],[Position ID]],Position!A:A, 0 ))</f>
        <v>Production Technician I</v>
      </c>
      <c r="Y117" t="str">
        <f>INDEX(Department!B:B,MATCH(Table1[[#This Row],[Department ID]],Department!A:A,0))</f>
        <v>Production</v>
      </c>
      <c r="Z117" t="str">
        <f>INDEX(Manager!B:B,MATCH(Table1[[#This Row],[Manger ID]],Manager!A:A,0))</f>
        <v>David Stanley</v>
      </c>
      <c r="AA117">
        <f ca="1">DATEDIF(Table1[[#This Row],[DOB]],TODAY(), "Y")</f>
        <v>44</v>
      </c>
      <c r="AB117" t="str">
        <f ca="1">IF(Table1[[#This Row],[ Age]]&lt;18,"Less than 18",IF(Table1[[#This Row],[ Age]]&lt;=29,"18-29",IF(Table1[[#This Row],[ Age]]&lt;=49,"30-49",IF(Table1[[#This Row],[ Age]]&lt;=59,"50-59","60 or more"))))</f>
        <v>30-49</v>
      </c>
      <c r="AC117" s="8">
        <f ca="1">IF(ISBLANK(Table1[[#This Row],[DateofTermination]]),DATEDIF(Table1[[#This Row],[DateofHire]],TODAY(), "M"),DATEDIF(Table1[[#This Row],[DateofHire]],Table1[[#This Row],[DateofTermination]],"M"))/12</f>
        <v>11.75</v>
      </c>
      <c r="AD117" t="str">
        <f>IF(Table1[[#This Row],[EmpSatisfaction]]=1,"Very Dissatisfied", IF(Table1[[#This Row],[EmpSatisfaction]] = 2, "Dissatisfied", IF(Table1[[#This Row],[EmpSatisfaction]]  = 3, "Neutral", IF(Table1[[#This Row],[EmpSatisfaction]] = 4, "Satisfied", IF(Table1[[#This Row],[EmpSatisfaction]]=5,"Very Satisfied", " ")))))</f>
        <v>Neutral</v>
      </c>
      <c r="AE117">
        <f>YEAR(Table1[[#This Row],[DateofHire]])</f>
        <v>2012</v>
      </c>
      <c r="AF117" t="s">
        <v>25</v>
      </c>
    </row>
    <row r="118" spans="1:32" x14ac:dyDescent="0.3">
      <c r="A118" t="s">
        <v>219</v>
      </c>
      <c r="B118">
        <v>10218</v>
      </c>
      <c r="C118" t="s">
        <v>475</v>
      </c>
      <c r="D118" t="s">
        <v>489</v>
      </c>
      <c r="E118">
        <v>10196</v>
      </c>
      <c r="F118" s="1">
        <v>41547</v>
      </c>
      <c r="G118" s="7">
        <v>66149</v>
      </c>
      <c r="H118" t="s">
        <v>499</v>
      </c>
      <c r="I118" s="1">
        <v>30658</v>
      </c>
      <c r="J118" t="s">
        <v>105</v>
      </c>
      <c r="K118" t="s">
        <v>23</v>
      </c>
      <c r="L118" t="s">
        <v>220</v>
      </c>
      <c r="M118" t="s">
        <v>21</v>
      </c>
      <c r="N118">
        <v>1824</v>
      </c>
      <c r="P118" t="s">
        <v>512</v>
      </c>
      <c r="Q118" t="s">
        <v>25</v>
      </c>
      <c r="R118" t="s">
        <v>45</v>
      </c>
      <c r="S118" t="s">
        <v>36</v>
      </c>
      <c r="T118">
        <v>4.4000000000000004</v>
      </c>
      <c r="U118">
        <v>5</v>
      </c>
      <c r="V118" s="1">
        <v>43517</v>
      </c>
      <c r="W118">
        <v>1</v>
      </c>
      <c r="X118" t="str">
        <f>INDEX(Position!B:B,MATCH(Table1[[#This Row],[Position ID]],Position!A:A, 0 ))</f>
        <v>Production Technician II</v>
      </c>
      <c r="Y118" t="str">
        <f>INDEX(Department!B:B,MATCH(Table1[[#This Row],[Department ID]],Department!A:A,0))</f>
        <v>Production</v>
      </c>
      <c r="Z118" t="str">
        <f>INDEX(Manager!B:B,MATCH(Table1[[#This Row],[Manger ID]],Manager!A:A,0))</f>
        <v>Kissy Sullivan</v>
      </c>
      <c r="AA118">
        <f ca="1">DATEDIF(Table1[[#This Row],[DOB]],TODAY(), "Y")</f>
        <v>40</v>
      </c>
      <c r="AB118" t="str">
        <f ca="1">IF(Table1[[#This Row],[ Age]]&lt;18,"Less than 18",IF(Table1[[#This Row],[ Age]]&lt;=29,"18-29",IF(Table1[[#This Row],[ Age]]&lt;=49,"30-49",IF(Table1[[#This Row],[ Age]]&lt;=59,"50-59","60 or more"))))</f>
        <v>30-49</v>
      </c>
      <c r="AC118" s="8">
        <f ca="1">IF(ISBLANK(Table1[[#This Row],[DateofTermination]]),DATEDIF(Table1[[#This Row],[DateofHire]],TODAY(), "M"),DATEDIF(Table1[[#This Row],[DateofHire]],Table1[[#This Row],[DateofTermination]],"M"))/12</f>
        <v>10.5</v>
      </c>
      <c r="AD118" t="str">
        <f>IF(Table1[[#This Row],[EmpSatisfaction]]=1,"Very Dissatisfied", IF(Table1[[#This Row],[EmpSatisfaction]] = 2, "Dissatisfied", IF(Table1[[#This Row],[EmpSatisfaction]]  = 3, "Neutral", IF(Table1[[#This Row],[EmpSatisfaction]] = 4, "Satisfied", IF(Table1[[#This Row],[EmpSatisfaction]]=5,"Very Satisfied", " ")))))</f>
        <v>Very Satisfied</v>
      </c>
      <c r="AE118">
        <f>YEAR(Table1[[#This Row],[DateofHire]])</f>
        <v>2013</v>
      </c>
      <c r="AF118" t="s">
        <v>25</v>
      </c>
    </row>
    <row r="119" spans="1:32" x14ac:dyDescent="0.3">
      <c r="A119" t="s">
        <v>221</v>
      </c>
      <c r="B119">
        <v>10256</v>
      </c>
      <c r="C119" t="s">
        <v>474</v>
      </c>
      <c r="D119" t="s">
        <v>489</v>
      </c>
      <c r="E119">
        <v>10196</v>
      </c>
      <c r="F119" s="1">
        <v>41505</v>
      </c>
      <c r="G119" s="7">
        <v>49256</v>
      </c>
      <c r="H119" t="s">
        <v>499</v>
      </c>
      <c r="I119" s="1">
        <v>27311</v>
      </c>
      <c r="J119" t="s">
        <v>31</v>
      </c>
      <c r="K119" t="s">
        <v>23</v>
      </c>
      <c r="L119" t="s">
        <v>82</v>
      </c>
      <c r="M119" t="s">
        <v>21</v>
      </c>
      <c r="N119">
        <v>1864</v>
      </c>
      <c r="P119" t="s">
        <v>512</v>
      </c>
      <c r="Q119" t="s">
        <v>25</v>
      </c>
      <c r="R119" t="s">
        <v>27</v>
      </c>
      <c r="S119" t="s">
        <v>36</v>
      </c>
      <c r="T119">
        <v>4.0999999999999996</v>
      </c>
      <c r="U119">
        <v>5</v>
      </c>
      <c r="V119" s="1">
        <v>43511</v>
      </c>
      <c r="W119">
        <v>3</v>
      </c>
      <c r="X119" t="str">
        <f>INDEX(Position!B:B,MATCH(Table1[[#This Row],[Position ID]],Position!A:A, 0 ))</f>
        <v>Production Technician I</v>
      </c>
      <c r="Y119" t="str">
        <f>INDEX(Department!B:B,MATCH(Table1[[#This Row],[Department ID]],Department!A:A,0))</f>
        <v>Production</v>
      </c>
      <c r="Z119" t="str">
        <f>INDEX(Manager!B:B,MATCH(Table1[[#This Row],[Manger ID]],Manager!A:A,0))</f>
        <v>Kissy Sullivan</v>
      </c>
      <c r="AA119">
        <f ca="1">DATEDIF(Table1[[#This Row],[DOB]],TODAY(), "Y")</f>
        <v>49</v>
      </c>
      <c r="AB119" t="str">
        <f ca="1">IF(Table1[[#This Row],[ Age]]&lt;18,"Less than 18",IF(Table1[[#This Row],[ Age]]&lt;=29,"18-29",IF(Table1[[#This Row],[ Age]]&lt;=49,"30-49",IF(Table1[[#This Row],[ Age]]&lt;=59,"50-59","60 or more"))))</f>
        <v>30-49</v>
      </c>
      <c r="AC119" s="8">
        <f ca="1">IF(ISBLANK(Table1[[#This Row],[DateofTermination]]),DATEDIF(Table1[[#This Row],[DateofHire]],TODAY(), "M"),DATEDIF(Table1[[#This Row],[DateofHire]],Table1[[#This Row],[DateofTermination]],"M"))/12</f>
        <v>10.583333333333334</v>
      </c>
      <c r="AD119" t="str">
        <f>IF(Table1[[#This Row],[EmpSatisfaction]]=1,"Very Dissatisfied", IF(Table1[[#This Row],[EmpSatisfaction]] = 2, "Dissatisfied", IF(Table1[[#This Row],[EmpSatisfaction]]  = 3, "Neutral", IF(Table1[[#This Row],[EmpSatisfaction]] = 4, "Satisfied", IF(Table1[[#This Row],[EmpSatisfaction]]=5,"Very Satisfied", " ")))))</f>
        <v>Very Satisfied</v>
      </c>
      <c r="AE119">
        <f>YEAR(Table1[[#This Row],[DateofHire]])</f>
        <v>2013</v>
      </c>
      <c r="AF119" t="s">
        <v>25</v>
      </c>
    </row>
    <row r="120" spans="1:32" x14ac:dyDescent="0.3">
      <c r="A120" t="s">
        <v>222</v>
      </c>
      <c r="B120">
        <v>10098</v>
      </c>
      <c r="C120" t="s">
        <v>473</v>
      </c>
      <c r="D120" t="s">
        <v>489</v>
      </c>
      <c r="E120">
        <v>10175</v>
      </c>
      <c r="F120" s="1">
        <v>42157</v>
      </c>
      <c r="G120" s="7">
        <v>62957</v>
      </c>
      <c r="H120" t="s">
        <v>498</v>
      </c>
      <c r="I120" s="1">
        <v>29778</v>
      </c>
      <c r="J120" t="s">
        <v>43</v>
      </c>
      <c r="K120" t="s">
        <v>23</v>
      </c>
      <c r="L120" t="s">
        <v>24</v>
      </c>
      <c r="M120" t="s">
        <v>21</v>
      </c>
      <c r="N120">
        <v>1752</v>
      </c>
      <c r="P120" t="s">
        <v>512</v>
      </c>
      <c r="Q120" t="s">
        <v>25</v>
      </c>
      <c r="R120" t="s">
        <v>55</v>
      </c>
      <c r="S120" t="s">
        <v>36</v>
      </c>
      <c r="T120">
        <v>4.63</v>
      </c>
      <c r="U120">
        <v>3</v>
      </c>
      <c r="V120" s="1">
        <v>43469</v>
      </c>
      <c r="W120">
        <v>2</v>
      </c>
      <c r="X120" t="str">
        <f>INDEX(Position!B:B,MATCH(Table1[[#This Row],[Position ID]],Position!A:A, 0 ))</f>
        <v>Production Manager</v>
      </c>
      <c r="Y120" t="str">
        <f>INDEX(Department!B:B,MATCH(Table1[[#This Row],[Department ID]],Department!A:A,0))</f>
        <v>Production</v>
      </c>
      <c r="Z120" t="str">
        <f>INDEX(Manager!B:B,MATCH(Table1[[#This Row],[Manger ID]],Manager!A:A,0))</f>
        <v>Janet King</v>
      </c>
      <c r="AA120">
        <f ca="1">DATEDIF(Table1[[#This Row],[DOB]],TODAY(), "Y")</f>
        <v>42</v>
      </c>
      <c r="AB120" t="str">
        <f ca="1">IF(Table1[[#This Row],[ Age]]&lt;18,"Less than 18",IF(Table1[[#This Row],[ Age]]&lt;=29,"18-29",IF(Table1[[#This Row],[ Age]]&lt;=49,"30-49",IF(Table1[[#This Row],[ Age]]&lt;=59,"50-59","60 or more"))))</f>
        <v>30-49</v>
      </c>
      <c r="AC120" s="8">
        <f ca="1">IF(ISBLANK(Table1[[#This Row],[DateofTermination]]),DATEDIF(Table1[[#This Row],[DateofHire]],TODAY(), "M"),DATEDIF(Table1[[#This Row],[DateofHire]],Table1[[#This Row],[DateofTermination]],"M"))/12</f>
        <v>8.8333333333333339</v>
      </c>
      <c r="AD120" t="str">
        <f>IF(Table1[[#This Row],[EmpSatisfaction]]=1,"Very Dissatisfied", IF(Table1[[#This Row],[EmpSatisfaction]] = 2, "Dissatisfied", IF(Table1[[#This Row],[EmpSatisfaction]]  = 3, "Neutral", IF(Table1[[#This Row],[EmpSatisfaction]] = 4, "Satisfied", IF(Table1[[#This Row],[EmpSatisfaction]]=5,"Very Satisfied", " ")))))</f>
        <v>Neutral</v>
      </c>
      <c r="AE120">
        <f>YEAR(Table1[[#This Row],[DateofHire]])</f>
        <v>2015</v>
      </c>
      <c r="AF120" t="s">
        <v>25</v>
      </c>
    </row>
    <row r="121" spans="1:32" hidden="1" x14ac:dyDescent="0.3">
      <c r="A121" t="s">
        <v>223</v>
      </c>
      <c r="B121">
        <v>10059</v>
      </c>
      <c r="C121" t="s">
        <v>474</v>
      </c>
      <c r="D121" t="s">
        <v>489</v>
      </c>
      <c r="E121">
        <v>10265</v>
      </c>
      <c r="F121" s="1">
        <v>40595</v>
      </c>
      <c r="G121" s="7">
        <v>63813</v>
      </c>
      <c r="H121" t="s">
        <v>499</v>
      </c>
      <c r="I121" s="1">
        <v>30457</v>
      </c>
      <c r="J121" t="s">
        <v>43</v>
      </c>
      <c r="K121" t="s">
        <v>23</v>
      </c>
      <c r="L121" t="s">
        <v>24</v>
      </c>
      <c r="M121" t="s">
        <v>21</v>
      </c>
      <c r="N121">
        <v>2176</v>
      </c>
      <c r="O121" s="1">
        <v>41650</v>
      </c>
      <c r="P121" t="s">
        <v>523</v>
      </c>
      <c r="Q121" t="s">
        <v>32</v>
      </c>
      <c r="R121" t="s">
        <v>87</v>
      </c>
      <c r="S121" t="s">
        <v>36</v>
      </c>
      <c r="T121">
        <v>5</v>
      </c>
      <c r="U121">
        <v>5</v>
      </c>
      <c r="V121" s="1">
        <v>41428</v>
      </c>
      <c r="W121">
        <v>17</v>
      </c>
      <c r="X121" t="str">
        <f>INDEX(Position!B:B,MATCH(Table1[[#This Row],[Position ID]],Position!A:A, 0 ))</f>
        <v>Production Technician I</v>
      </c>
      <c r="Y121" t="str">
        <f>INDEX(Department!B:B,MATCH(Table1[[#This Row],[Department ID]],Department!A:A,0))</f>
        <v>Production</v>
      </c>
      <c r="Z121" t="str">
        <f>INDEX(Manager!B:B,MATCH(Table1[[#This Row],[Manger ID]],Manager!A:A,0))</f>
        <v>Kelley Spirea</v>
      </c>
      <c r="AA121">
        <f ca="1">DATEDIF(Table1[[#This Row],[DOB]],TODAY(), "Y")</f>
        <v>40</v>
      </c>
      <c r="AB121" t="str">
        <f ca="1">IF(Table1[[#This Row],[ Age]]&lt;18,"Less than 18",IF(Table1[[#This Row],[ Age]]&lt;=29,"18-29",IF(Table1[[#This Row],[ Age]]&lt;=49,"30-49",IF(Table1[[#This Row],[ Age]]&lt;=59,"50-59","60 or more"))))</f>
        <v>30-49</v>
      </c>
      <c r="AC121" s="8">
        <f ca="1">IF(ISBLANK(Table1[[#This Row],[DateofTermination]]),DATEDIF(Table1[[#This Row],[DateofHire]],TODAY(), "M"),DATEDIF(Table1[[#This Row],[DateofHire]],Table1[[#This Row],[DateofTermination]],"M"))/12</f>
        <v>2.8333333333333335</v>
      </c>
      <c r="AD121" t="str">
        <f>IF(Table1[[#This Row],[EmpSatisfaction]]=1,"Very Dissatisfied", IF(Table1[[#This Row],[EmpSatisfaction]] = 2, "Dissatisfied", IF(Table1[[#This Row],[EmpSatisfaction]]  = 3, "Neutral", IF(Table1[[#This Row],[EmpSatisfaction]] = 4, "Satisfied", IF(Table1[[#This Row],[EmpSatisfaction]]=5,"Very Satisfied", " ")))))</f>
        <v>Very Satisfied</v>
      </c>
      <c r="AE121">
        <f>YEAR(Table1[[#This Row],[DateofHire]])</f>
        <v>2011</v>
      </c>
      <c r="AF121" t="s">
        <v>535</v>
      </c>
    </row>
    <row r="122" spans="1:32" x14ac:dyDescent="0.3">
      <c r="A122" t="s">
        <v>224</v>
      </c>
      <c r="B122">
        <v>10234</v>
      </c>
      <c r="C122" t="s">
        <v>455</v>
      </c>
      <c r="D122" t="s">
        <v>488</v>
      </c>
      <c r="E122">
        <v>10197</v>
      </c>
      <c r="F122" s="1">
        <v>42845</v>
      </c>
      <c r="G122" s="7">
        <v>99020</v>
      </c>
      <c r="H122" t="s">
        <v>498</v>
      </c>
      <c r="I122" s="1">
        <v>32689</v>
      </c>
      <c r="J122" t="s">
        <v>31</v>
      </c>
      <c r="K122" t="s">
        <v>23</v>
      </c>
      <c r="L122" t="s">
        <v>57</v>
      </c>
      <c r="M122" t="s">
        <v>21</v>
      </c>
      <c r="N122">
        <v>2134</v>
      </c>
      <c r="P122" t="s">
        <v>512</v>
      </c>
      <c r="Q122" t="s">
        <v>25</v>
      </c>
      <c r="R122" t="s">
        <v>35</v>
      </c>
      <c r="S122" t="s">
        <v>36</v>
      </c>
      <c r="T122">
        <v>4.2</v>
      </c>
      <c r="U122">
        <v>5</v>
      </c>
      <c r="V122" s="1">
        <v>43493</v>
      </c>
      <c r="W122">
        <v>8</v>
      </c>
      <c r="X122" t="str">
        <f>INDEX(Position!B:B,MATCH(Table1[[#This Row],[Position ID]],Position!A:A, 0 ))</f>
        <v>BI Developer</v>
      </c>
      <c r="Y122" t="str">
        <f>INDEX(Department!B:B,MATCH(Table1[[#This Row],[Department ID]],Department!A:A,0))</f>
        <v>IT/IS</v>
      </c>
      <c r="Z122" t="str">
        <f>INDEX(Manager!B:B,MATCH(Table1[[#This Row],[Manger ID]],Manager!A:A,0))</f>
        <v>Brian Champaigne</v>
      </c>
      <c r="AA122">
        <f ca="1">DATEDIF(Table1[[#This Row],[DOB]],TODAY(), "Y")</f>
        <v>34</v>
      </c>
      <c r="AB122" t="str">
        <f ca="1">IF(Table1[[#This Row],[ Age]]&lt;18,"Less than 18",IF(Table1[[#This Row],[ Age]]&lt;=29,"18-29",IF(Table1[[#This Row],[ Age]]&lt;=49,"30-49",IF(Table1[[#This Row],[ Age]]&lt;=59,"50-59","60 or more"))))</f>
        <v>30-49</v>
      </c>
      <c r="AC122" s="8">
        <f ca="1">IF(ISBLANK(Table1[[#This Row],[DateofTermination]]),DATEDIF(Table1[[#This Row],[DateofHire]],TODAY(), "M"),DATEDIF(Table1[[#This Row],[DateofHire]],Table1[[#This Row],[DateofTermination]],"M"))/12</f>
        <v>6.916666666666667</v>
      </c>
      <c r="AD122" t="str">
        <f>IF(Table1[[#This Row],[EmpSatisfaction]]=1,"Very Dissatisfied", IF(Table1[[#This Row],[EmpSatisfaction]] = 2, "Dissatisfied", IF(Table1[[#This Row],[EmpSatisfaction]]  = 3, "Neutral", IF(Table1[[#This Row],[EmpSatisfaction]] = 4, "Satisfied", IF(Table1[[#This Row],[EmpSatisfaction]]=5,"Very Satisfied", " ")))))</f>
        <v>Very Satisfied</v>
      </c>
      <c r="AE122">
        <f>YEAR(Table1[[#This Row],[DateofHire]])</f>
        <v>2017</v>
      </c>
      <c r="AF122" t="s">
        <v>25</v>
      </c>
    </row>
    <row r="123" spans="1:32" hidden="1" x14ac:dyDescent="0.3">
      <c r="A123" t="s">
        <v>225</v>
      </c>
      <c r="B123">
        <v>10109</v>
      </c>
      <c r="C123" t="s">
        <v>454</v>
      </c>
      <c r="D123" t="s">
        <v>490</v>
      </c>
      <c r="E123">
        <v>10188</v>
      </c>
      <c r="F123" s="1">
        <v>40975</v>
      </c>
      <c r="G123" s="7">
        <v>71707</v>
      </c>
      <c r="H123" t="s">
        <v>498</v>
      </c>
      <c r="I123" s="1">
        <v>25243</v>
      </c>
      <c r="J123" t="s">
        <v>22</v>
      </c>
      <c r="K123" t="s">
        <v>23</v>
      </c>
      <c r="L123" t="s">
        <v>70</v>
      </c>
      <c r="M123" t="s">
        <v>226</v>
      </c>
      <c r="N123">
        <v>37129</v>
      </c>
      <c r="O123" s="1">
        <v>41943</v>
      </c>
      <c r="P123" t="s">
        <v>522</v>
      </c>
      <c r="Q123" t="s">
        <v>32</v>
      </c>
      <c r="R123" t="s">
        <v>27</v>
      </c>
      <c r="S123" t="s">
        <v>36</v>
      </c>
      <c r="T123">
        <v>4.5</v>
      </c>
      <c r="U123">
        <v>5</v>
      </c>
      <c r="V123" s="1">
        <v>41306</v>
      </c>
      <c r="W123">
        <v>20</v>
      </c>
      <c r="X123" t="str">
        <f>INDEX(Position!B:B,MATCH(Table1[[#This Row],[Position ID]],Position!A:A, 0 ))</f>
        <v>Area Sales Manager</v>
      </c>
      <c r="Y123" t="str">
        <f>INDEX(Department!B:B,MATCH(Table1[[#This Row],[Department ID]],Department!A:A,0))</f>
        <v>Sales</v>
      </c>
      <c r="Z123" t="str">
        <f>INDEX(Manager!B:B,MATCH(Table1[[#This Row],[Manger ID]],Manager!A:A,0))</f>
        <v>John Smith</v>
      </c>
      <c r="AA123">
        <f ca="1">DATEDIF(Table1[[#This Row],[DOB]],TODAY(), "Y")</f>
        <v>55</v>
      </c>
      <c r="AB123" t="str">
        <f ca="1">IF(Table1[[#This Row],[ Age]]&lt;18,"Less than 18",IF(Table1[[#This Row],[ Age]]&lt;=29,"18-29",IF(Table1[[#This Row],[ Age]]&lt;=49,"30-49",IF(Table1[[#This Row],[ Age]]&lt;=59,"50-59","60 or more"))))</f>
        <v>50-59</v>
      </c>
      <c r="AC123" s="8">
        <f ca="1">IF(ISBLANK(Table1[[#This Row],[DateofTermination]]),DATEDIF(Table1[[#This Row],[DateofHire]],TODAY(), "M"),DATEDIF(Table1[[#This Row],[DateofHire]],Table1[[#This Row],[DateofTermination]],"M"))/12</f>
        <v>2.5833333333333335</v>
      </c>
      <c r="AD123" t="str">
        <f>IF(Table1[[#This Row],[EmpSatisfaction]]=1,"Very Dissatisfied", IF(Table1[[#This Row],[EmpSatisfaction]] = 2, "Dissatisfied", IF(Table1[[#This Row],[EmpSatisfaction]]  = 3, "Neutral", IF(Table1[[#This Row],[EmpSatisfaction]] = 4, "Satisfied", IF(Table1[[#This Row],[EmpSatisfaction]]=5,"Very Satisfied", " ")))))</f>
        <v>Very Satisfied</v>
      </c>
      <c r="AE123">
        <f>YEAR(Table1[[#This Row],[DateofHire]])</f>
        <v>2012</v>
      </c>
      <c r="AF123" t="s">
        <v>535</v>
      </c>
    </row>
    <row r="124" spans="1:32" x14ac:dyDescent="0.3">
      <c r="A124" t="s">
        <v>227</v>
      </c>
      <c r="B124">
        <v>10125</v>
      </c>
      <c r="C124" t="s">
        <v>474</v>
      </c>
      <c r="D124" t="s">
        <v>489</v>
      </c>
      <c r="E124">
        <v>10026</v>
      </c>
      <c r="F124" s="1">
        <v>40875</v>
      </c>
      <c r="G124" s="7">
        <v>54828</v>
      </c>
      <c r="H124" t="s">
        <v>499</v>
      </c>
      <c r="I124" s="1">
        <v>28207</v>
      </c>
      <c r="J124" t="s">
        <v>31</v>
      </c>
      <c r="K124" t="s">
        <v>23</v>
      </c>
      <c r="L124" t="s">
        <v>24</v>
      </c>
      <c r="M124" t="s">
        <v>21</v>
      </c>
      <c r="N124">
        <v>2127</v>
      </c>
      <c r="P124" t="s">
        <v>512</v>
      </c>
      <c r="Q124" t="s">
        <v>25</v>
      </c>
      <c r="R124" t="s">
        <v>45</v>
      </c>
      <c r="S124" t="s">
        <v>36</v>
      </c>
      <c r="T124">
        <v>4.2</v>
      </c>
      <c r="U124">
        <v>4</v>
      </c>
      <c r="V124" s="1">
        <v>43518</v>
      </c>
      <c r="W124">
        <v>13</v>
      </c>
      <c r="X124" t="str">
        <f>INDEX(Position!B:B,MATCH(Table1[[#This Row],[Position ID]],Position!A:A, 0 ))</f>
        <v>Production Technician I</v>
      </c>
      <c r="Y124" t="str">
        <f>INDEX(Department!B:B,MATCH(Table1[[#This Row],[Department ID]],Department!A:A,0))</f>
        <v>Production</v>
      </c>
      <c r="Z124" t="str">
        <f>INDEX(Manager!B:B,MATCH(Table1[[#This Row],[Manger ID]],Manager!A:A,0))</f>
        <v>Michael Albert</v>
      </c>
      <c r="AA124">
        <f ca="1">DATEDIF(Table1[[#This Row],[DOB]],TODAY(), "Y")</f>
        <v>47</v>
      </c>
      <c r="AB124" t="str">
        <f ca="1">IF(Table1[[#This Row],[ Age]]&lt;18,"Less than 18",IF(Table1[[#This Row],[ Age]]&lt;=29,"18-29",IF(Table1[[#This Row],[ Age]]&lt;=49,"30-49",IF(Table1[[#This Row],[ Age]]&lt;=59,"50-59","60 or more"))))</f>
        <v>30-49</v>
      </c>
      <c r="AC124" s="8">
        <f ca="1">IF(ISBLANK(Table1[[#This Row],[DateofTermination]]),DATEDIF(Table1[[#This Row],[DateofHire]],TODAY(), "M"),DATEDIF(Table1[[#This Row],[DateofHire]],Table1[[#This Row],[DateofTermination]],"M"))/12</f>
        <v>12.333333333333334</v>
      </c>
      <c r="AD124" t="str">
        <f>IF(Table1[[#This Row],[EmpSatisfaction]]=1,"Very Dissatisfied", IF(Table1[[#This Row],[EmpSatisfaction]] = 2, "Dissatisfied", IF(Table1[[#This Row],[EmpSatisfaction]]  = 3, "Neutral", IF(Table1[[#This Row],[EmpSatisfaction]] = 4, "Satisfied", IF(Table1[[#This Row],[EmpSatisfaction]]=5,"Very Satisfied", " ")))))</f>
        <v>Satisfied</v>
      </c>
      <c r="AE124">
        <f>YEAR(Table1[[#This Row],[DateofHire]])</f>
        <v>2011</v>
      </c>
      <c r="AF124" t="s">
        <v>25</v>
      </c>
    </row>
    <row r="125" spans="1:32" x14ac:dyDescent="0.3">
      <c r="A125" t="s">
        <v>228</v>
      </c>
      <c r="B125">
        <v>10074</v>
      </c>
      <c r="C125" t="s">
        <v>475</v>
      </c>
      <c r="D125" t="s">
        <v>489</v>
      </c>
      <c r="E125">
        <v>10265</v>
      </c>
      <c r="F125" s="1">
        <v>41589</v>
      </c>
      <c r="G125" s="7">
        <v>64246</v>
      </c>
      <c r="H125" t="s">
        <v>498</v>
      </c>
      <c r="I125" s="1">
        <v>32365</v>
      </c>
      <c r="J125" t="s">
        <v>22</v>
      </c>
      <c r="K125" t="s">
        <v>23</v>
      </c>
      <c r="L125" t="s">
        <v>24</v>
      </c>
      <c r="M125" t="s">
        <v>21</v>
      </c>
      <c r="N125">
        <v>2155</v>
      </c>
      <c r="P125" t="s">
        <v>512</v>
      </c>
      <c r="Q125" t="s">
        <v>25</v>
      </c>
      <c r="R125" t="s">
        <v>27</v>
      </c>
      <c r="S125" t="s">
        <v>36</v>
      </c>
      <c r="T125">
        <v>5</v>
      </c>
      <c r="U125">
        <v>3</v>
      </c>
      <c r="V125" s="1">
        <v>43473</v>
      </c>
      <c r="W125">
        <v>20</v>
      </c>
      <c r="X125" t="str">
        <f>INDEX(Position!B:B,MATCH(Table1[[#This Row],[Position ID]],Position!A:A, 0 ))</f>
        <v>Production Technician II</v>
      </c>
      <c r="Y125" t="str">
        <f>INDEX(Department!B:B,MATCH(Table1[[#This Row],[Department ID]],Department!A:A,0))</f>
        <v>Production</v>
      </c>
      <c r="Z125" t="str">
        <f>INDEX(Manager!B:B,MATCH(Table1[[#This Row],[Manger ID]],Manager!A:A,0))</f>
        <v>Kelley Spirea</v>
      </c>
      <c r="AA125">
        <f ca="1">DATEDIF(Table1[[#This Row],[DOB]],TODAY(), "Y")</f>
        <v>35</v>
      </c>
      <c r="AB125" t="str">
        <f ca="1">IF(Table1[[#This Row],[ Age]]&lt;18,"Less than 18",IF(Table1[[#This Row],[ Age]]&lt;=29,"18-29",IF(Table1[[#This Row],[ Age]]&lt;=49,"30-49",IF(Table1[[#This Row],[ Age]]&lt;=59,"50-59","60 or more"))))</f>
        <v>30-49</v>
      </c>
      <c r="AC125" s="8">
        <f ca="1">IF(ISBLANK(Table1[[#This Row],[DateofTermination]]),DATEDIF(Table1[[#This Row],[DateofHire]],TODAY(), "M"),DATEDIF(Table1[[#This Row],[DateofHire]],Table1[[#This Row],[DateofTermination]],"M"))/12</f>
        <v>10.333333333333334</v>
      </c>
      <c r="AD125" t="str">
        <f>IF(Table1[[#This Row],[EmpSatisfaction]]=1,"Very Dissatisfied", IF(Table1[[#This Row],[EmpSatisfaction]] = 2, "Dissatisfied", IF(Table1[[#This Row],[EmpSatisfaction]]  = 3, "Neutral", IF(Table1[[#This Row],[EmpSatisfaction]] = 4, "Satisfied", IF(Table1[[#This Row],[EmpSatisfaction]]=5,"Very Satisfied", " ")))))</f>
        <v>Neutral</v>
      </c>
      <c r="AE125">
        <f>YEAR(Table1[[#This Row],[DateofHire]])</f>
        <v>2013</v>
      </c>
      <c r="AF125" t="s">
        <v>25</v>
      </c>
    </row>
    <row r="126" spans="1:32" hidden="1" x14ac:dyDescent="0.3">
      <c r="A126" t="s">
        <v>229</v>
      </c>
      <c r="B126">
        <v>10097</v>
      </c>
      <c r="C126" t="s">
        <v>474</v>
      </c>
      <c r="D126" t="s">
        <v>489</v>
      </c>
      <c r="E126">
        <v>10069</v>
      </c>
      <c r="F126" s="1">
        <v>40917</v>
      </c>
      <c r="G126" s="7">
        <v>52177</v>
      </c>
      <c r="H126" t="s">
        <v>499</v>
      </c>
      <c r="I126" s="1">
        <v>19224</v>
      </c>
      <c r="J126" t="s">
        <v>22</v>
      </c>
      <c r="K126" t="s">
        <v>23</v>
      </c>
      <c r="L126" t="s">
        <v>24</v>
      </c>
      <c r="M126" t="s">
        <v>21</v>
      </c>
      <c r="N126">
        <v>2324</v>
      </c>
      <c r="O126" s="1">
        <v>42353</v>
      </c>
      <c r="P126" t="s">
        <v>521</v>
      </c>
      <c r="Q126" t="s">
        <v>32</v>
      </c>
      <c r="R126" t="s">
        <v>87</v>
      </c>
      <c r="S126" t="s">
        <v>36</v>
      </c>
      <c r="T126">
        <v>4.6399999999999997</v>
      </c>
      <c r="U126">
        <v>4</v>
      </c>
      <c r="V126" s="1">
        <v>42126</v>
      </c>
      <c r="W126">
        <v>8</v>
      </c>
      <c r="X126" t="str">
        <f>INDEX(Position!B:B,MATCH(Table1[[#This Row],[Position ID]],Position!A:A, 0 ))</f>
        <v>Production Technician I</v>
      </c>
      <c r="Y126" t="str">
        <f>INDEX(Department!B:B,MATCH(Table1[[#This Row],[Department ID]],Department!A:A,0))</f>
        <v>Production</v>
      </c>
      <c r="Z126" t="str">
        <f>INDEX(Manager!B:B,MATCH(Table1[[#This Row],[Manger ID]],Manager!A:A,0))</f>
        <v>Webster Butler</v>
      </c>
      <c r="AA126">
        <f ca="1">DATEDIF(Table1[[#This Row],[DOB]],TODAY(), "Y")</f>
        <v>71</v>
      </c>
      <c r="AB126" t="str">
        <f ca="1">IF(Table1[[#This Row],[ Age]]&lt;18,"Less than 18",IF(Table1[[#This Row],[ Age]]&lt;=29,"18-29",IF(Table1[[#This Row],[ Age]]&lt;=49,"30-49",IF(Table1[[#This Row],[ Age]]&lt;=59,"50-59","60 or more"))))</f>
        <v>60 or more</v>
      </c>
      <c r="AC126" s="8">
        <f ca="1">IF(ISBLANK(Table1[[#This Row],[DateofTermination]]),DATEDIF(Table1[[#This Row],[DateofHire]],TODAY(), "M"),DATEDIF(Table1[[#This Row],[DateofHire]],Table1[[#This Row],[DateofTermination]],"M"))/12</f>
        <v>3.9166666666666665</v>
      </c>
      <c r="AD126" t="str">
        <f>IF(Table1[[#This Row],[EmpSatisfaction]]=1,"Very Dissatisfied", IF(Table1[[#This Row],[EmpSatisfaction]] = 2, "Dissatisfied", IF(Table1[[#This Row],[EmpSatisfaction]]  = 3, "Neutral", IF(Table1[[#This Row],[EmpSatisfaction]] = 4, "Satisfied", IF(Table1[[#This Row],[EmpSatisfaction]]=5,"Very Satisfied", " ")))))</f>
        <v>Satisfied</v>
      </c>
      <c r="AE126">
        <f>YEAR(Table1[[#This Row],[DateofHire]])</f>
        <v>2012</v>
      </c>
      <c r="AF126" t="s">
        <v>535</v>
      </c>
    </row>
    <row r="127" spans="1:32" x14ac:dyDescent="0.3">
      <c r="A127" t="s">
        <v>230</v>
      </c>
      <c r="B127">
        <v>10007</v>
      </c>
      <c r="C127" t="s">
        <v>474</v>
      </c>
      <c r="D127" t="s">
        <v>489</v>
      </c>
      <c r="E127">
        <v>10002</v>
      </c>
      <c r="F127" s="1">
        <v>41771</v>
      </c>
      <c r="G127" s="7">
        <v>62065</v>
      </c>
      <c r="H127" t="s">
        <v>499</v>
      </c>
      <c r="I127" s="1">
        <v>27151</v>
      </c>
      <c r="J127" t="s">
        <v>31</v>
      </c>
      <c r="K127" t="s">
        <v>23</v>
      </c>
      <c r="L127" t="s">
        <v>24</v>
      </c>
      <c r="M127" t="s">
        <v>21</v>
      </c>
      <c r="N127">
        <v>1886</v>
      </c>
      <c r="P127" t="s">
        <v>512</v>
      </c>
      <c r="Q127" t="s">
        <v>25</v>
      </c>
      <c r="R127" t="s">
        <v>87</v>
      </c>
      <c r="S127" t="s">
        <v>28</v>
      </c>
      <c r="T127">
        <v>4.76</v>
      </c>
      <c r="U127">
        <v>4</v>
      </c>
      <c r="V127" s="1">
        <v>43511</v>
      </c>
      <c r="W127">
        <v>5</v>
      </c>
      <c r="X127" t="str">
        <f>INDEX(Position!B:B,MATCH(Table1[[#This Row],[Position ID]],Position!A:A, 0 ))</f>
        <v>Production Technician I</v>
      </c>
      <c r="Y127" t="str">
        <f>INDEX(Department!B:B,MATCH(Table1[[#This Row],[Department ID]],Department!A:A,0))</f>
        <v>Production</v>
      </c>
      <c r="Z127" t="str">
        <f>INDEX(Manager!B:B,MATCH(Table1[[#This Row],[Manger ID]],Manager!A:A,0))</f>
        <v>Amy Dunn</v>
      </c>
      <c r="AA127">
        <f ca="1">DATEDIF(Table1[[#This Row],[DOB]],TODAY(), "Y")</f>
        <v>49</v>
      </c>
      <c r="AB127" t="str">
        <f ca="1">IF(Table1[[#This Row],[ Age]]&lt;18,"Less than 18",IF(Table1[[#This Row],[ Age]]&lt;=29,"18-29",IF(Table1[[#This Row],[ Age]]&lt;=49,"30-49",IF(Table1[[#This Row],[ Age]]&lt;=59,"50-59","60 or more"))))</f>
        <v>30-49</v>
      </c>
      <c r="AC127" s="8">
        <f ca="1">IF(ISBLANK(Table1[[#This Row],[DateofTermination]]),DATEDIF(Table1[[#This Row],[DateofHire]],TODAY(), "M"),DATEDIF(Table1[[#This Row],[DateofHire]],Table1[[#This Row],[DateofTermination]],"M"))/12</f>
        <v>9.8333333333333339</v>
      </c>
      <c r="AD127" t="str">
        <f>IF(Table1[[#This Row],[EmpSatisfaction]]=1,"Very Dissatisfied", IF(Table1[[#This Row],[EmpSatisfaction]] = 2, "Dissatisfied", IF(Table1[[#This Row],[EmpSatisfaction]]  = 3, "Neutral", IF(Table1[[#This Row],[EmpSatisfaction]] = 4, "Satisfied", IF(Table1[[#This Row],[EmpSatisfaction]]=5,"Very Satisfied", " ")))))</f>
        <v>Satisfied</v>
      </c>
      <c r="AE127">
        <f>YEAR(Table1[[#This Row],[DateofHire]])</f>
        <v>2014</v>
      </c>
      <c r="AF127" t="s">
        <v>25</v>
      </c>
    </row>
    <row r="128" spans="1:32" x14ac:dyDescent="0.3">
      <c r="A128" t="s">
        <v>231</v>
      </c>
      <c r="B128">
        <v>10129</v>
      </c>
      <c r="C128" t="s">
        <v>474</v>
      </c>
      <c r="D128" t="s">
        <v>489</v>
      </c>
      <c r="E128">
        <v>10062</v>
      </c>
      <c r="F128" s="1">
        <v>41134</v>
      </c>
      <c r="G128" s="7">
        <v>46998</v>
      </c>
      <c r="H128" t="s">
        <v>498</v>
      </c>
      <c r="I128" s="1">
        <v>30685</v>
      </c>
      <c r="J128" t="s">
        <v>22</v>
      </c>
      <c r="K128" t="s">
        <v>23</v>
      </c>
      <c r="L128" t="s">
        <v>24</v>
      </c>
      <c r="M128" t="s">
        <v>21</v>
      </c>
      <c r="N128">
        <v>2149</v>
      </c>
      <c r="P128" t="s">
        <v>512</v>
      </c>
      <c r="Q128" t="s">
        <v>25</v>
      </c>
      <c r="R128" t="s">
        <v>45</v>
      </c>
      <c r="S128" t="s">
        <v>36</v>
      </c>
      <c r="T128">
        <v>4.17</v>
      </c>
      <c r="U128">
        <v>4</v>
      </c>
      <c r="V128" s="1">
        <v>43507</v>
      </c>
      <c r="W128">
        <v>1</v>
      </c>
      <c r="X128" t="str">
        <f>INDEX(Position!B:B,MATCH(Table1[[#This Row],[Position ID]],Position!A:A, 0 ))</f>
        <v>Production Technician I</v>
      </c>
      <c r="Y128" t="str">
        <f>INDEX(Department!B:B,MATCH(Table1[[#This Row],[Department ID]],Department!A:A,0))</f>
        <v>Production</v>
      </c>
      <c r="Z128" t="str">
        <f>INDEX(Manager!B:B,MATCH(Table1[[#This Row],[Manger ID]],Manager!A:A,0))</f>
        <v>Ketsia Liebig</v>
      </c>
      <c r="AA128">
        <f ca="1">DATEDIF(Table1[[#This Row],[DOB]],TODAY(), "Y")</f>
        <v>40</v>
      </c>
      <c r="AB128" t="str">
        <f ca="1">IF(Table1[[#This Row],[ Age]]&lt;18,"Less than 18",IF(Table1[[#This Row],[ Age]]&lt;=29,"18-29",IF(Table1[[#This Row],[ Age]]&lt;=49,"30-49",IF(Table1[[#This Row],[ Age]]&lt;=59,"50-59","60 or more"))))</f>
        <v>30-49</v>
      </c>
      <c r="AC128" s="8">
        <f ca="1">IF(ISBLANK(Table1[[#This Row],[DateofTermination]]),DATEDIF(Table1[[#This Row],[DateofHire]],TODAY(), "M"),DATEDIF(Table1[[#This Row],[DateofHire]],Table1[[#This Row],[DateofTermination]],"M"))/12</f>
        <v>11.583333333333334</v>
      </c>
      <c r="AD128" t="str">
        <f>IF(Table1[[#This Row],[EmpSatisfaction]]=1,"Very Dissatisfied", IF(Table1[[#This Row],[EmpSatisfaction]] = 2, "Dissatisfied", IF(Table1[[#This Row],[EmpSatisfaction]]  = 3, "Neutral", IF(Table1[[#This Row],[EmpSatisfaction]] = 4, "Satisfied", IF(Table1[[#This Row],[EmpSatisfaction]]=5,"Very Satisfied", " ")))))</f>
        <v>Satisfied</v>
      </c>
      <c r="AE128">
        <f>YEAR(Table1[[#This Row],[DateofHire]])</f>
        <v>2012</v>
      </c>
      <c r="AF128" t="s">
        <v>25</v>
      </c>
    </row>
    <row r="129" spans="1:32" hidden="1" x14ac:dyDescent="0.3">
      <c r="A129" t="s">
        <v>232</v>
      </c>
      <c r="B129">
        <v>10075</v>
      </c>
      <c r="C129" t="s">
        <v>475</v>
      </c>
      <c r="D129" t="s">
        <v>489</v>
      </c>
      <c r="E129">
        <v>10265</v>
      </c>
      <c r="F129" s="1">
        <v>40553</v>
      </c>
      <c r="G129" s="7">
        <v>68099</v>
      </c>
      <c r="H129" t="s">
        <v>499</v>
      </c>
      <c r="I129" s="1">
        <v>26538</v>
      </c>
      <c r="J129" t="s">
        <v>22</v>
      </c>
      <c r="K129" t="s">
        <v>23</v>
      </c>
      <c r="L129" t="s">
        <v>24</v>
      </c>
      <c r="M129" t="s">
        <v>21</v>
      </c>
      <c r="N129">
        <v>2021</v>
      </c>
      <c r="O129" s="1">
        <v>41443</v>
      </c>
      <c r="P129" t="s">
        <v>514</v>
      </c>
      <c r="Q129" t="s">
        <v>32</v>
      </c>
      <c r="R129" t="s">
        <v>87</v>
      </c>
      <c r="S129" t="s">
        <v>36</v>
      </c>
      <c r="T129">
        <v>5</v>
      </c>
      <c r="U129">
        <v>3</v>
      </c>
      <c r="V129" s="1">
        <v>41304</v>
      </c>
      <c r="W129">
        <v>15</v>
      </c>
      <c r="X129" t="str">
        <f>INDEX(Position!B:B,MATCH(Table1[[#This Row],[Position ID]],Position!A:A, 0 ))</f>
        <v>Production Technician II</v>
      </c>
      <c r="Y129" t="str">
        <f>INDEX(Department!B:B,MATCH(Table1[[#This Row],[Department ID]],Department!A:A,0))</f>
        <v>Production</v>
      </c>
      <c r="Z129" t="str">
        <f>INDEX(Manager!B:B,MATCH(Table1[[#This Row],[Manger ID]],Manager!A:A,0))</f>
        <v>Kelley Spirea</v>
      </c>
      <c r="AA129">
        <f ca="1">DATEDIF(Table1[[#This Row],[DOB]],TODAY(), "Y")</f>
        <v>51</v>
      </c>
      <c r="AB129" t="str">
        <f ca="1">IF(Table1[[#This Row],[ Age]]&lt;18,"Less than 18",IF(Table1[[#This Row],[ Age]]&lt;=29,"18-29",IF(Table1[[#This Row],[ Age]]&lt;=49,"30-49",IF(Table1[[#This Row],[ Age]]&lt;=59,"50-59","60 or more"))))</f>
        <v>50-59</v>
      </c>
      <c r="AC129" s="8">
        <f ca="1">IF(ISBLANK(Table1[[#This Row],[DateofTermination]]),DATEDIF(Table1[[#This Row],[DateofHire]],TODAY(), "M"),DATEDIF(Table1[[#This Row],[DateofHire]],Table1[[#This Row],[DateofTermination]],"M"))/12</f>
        <v>2.4166666666666665</v>
      </c>
      <c r="AD129" t="str">
        <f>IF(Table1[[#This Row],[EmpSatisfaction]]=1,"Very Dissatisfied", IF(Table1[[#This Row],[EmpSatisfaction]] = 2, "Dissatisfied", IF(Table1[[#This Row],[EmpSatisfaction]]  = 3, "Neutral", IF(Table1[[#This Row],[EmpSatisfaction]] = 4, "Satisfied", IF(Table1[[#This Row],[EmpSatisfaction]]=5,"Very Satisfied", " ")))))</f>
        <v>Neutral</v>
      </c>
      <c r="AE129">
        <f>YEAR(Table1[[#This Row],[DateofHire]])</f>
        <v>2011</v>
      </c>
      <c r="AF129" t="s">
        <v>535</v>
      </c>
    </row>
    <row r="130" spans="1:32" x14ac:dyDescent="0.3">
      <c r="A130" t="s">
        <v>233</v>
      </c>
      <c r="B130">
        <v>10167</v>
      </c>
      <c r="C130" t="s">
        <v>454</v>
      </c>
      <c r="D130" t="s">
        <v>490</v>
      </c>
      <c r="E130">
        <v>10188</v>
      </c>
      <c r="F130" s="1">
        <v>41869</v>
      </c>
      <c r="G130" s="7">
        <v>70545</v>
      </c>
      <c r="H130" t="s">
        <v>498</v>
      </c>
      <c r="I130" s="1">
        <v>32400</v>
      </c>
      <c r="J130" t="s">
        <v>31</v>
      </c>
      <c r="K130" t="s">
        <v>23</v>
      </c>
      <c r="L130" t="s">
        <v>220</v>
      </c>
      <c r="M130" t="s">
        <v>234</v>
      </c>
      <c r="N130">
        <v>3062</v>
      </c>
      <c r="P130" t="s">
        <v>512</v>
      </c>
      <c r="Q130" t="s">
        <v>25</v>
      </c>
      <c r="R130" t="s">
        <v>35</v>
      </c>
      <c r="S130" t="s">
        <v>36</v>
      </c>
      <c r="T130">
        <v>3.6</v>
      </c>
      <c r="U130">
        <v>5</v>
      </c>
      <c r="V130" s="1">
        <v>43495</v>
      </c>
      <c r="W130">
        <v>9</v>
      </c>
      <c r="X130" t="str">
        <f>INDEX(Position!B:B,MATCH(Table1[[#This Row],[Position ID]],Position!A:A, 0 ))</f>
        <v>Area Sales Manager</v>
      </c>
      <c r="Y130" t="str">
        <f>INDEX(Department!B:B,MATCH(Table1[[#This Row],[Department ID]],Department!A:A,0))</f>
        <v>Sales</v>
      </c>
      <c r="Z130" t="str">
        <f>INDEX(Manager!B:B,MATCH(Table1[[#This Row],[Manger ID]],Manager!A:A,0))</f>
        <v>John Smith</v>
      </c>
      <c r="AA130">
        <f ca="1">DATEDIF(Table1[[#This Row],[DOB]],TODAY(), "Y")</f>
        <v>35</v>
      </c>
      <c r="AB130" t="str">
        <f ca="1">IF(Table1[[#This Row],[ Age]]&lt;18,"Less than 18",IF(Table1[[#This Row],[ Age]]&lt;=29,"18-29",IF(Table1[[#This Row],[ Age]]&lt;=49,"30-49",IF(Table1[[#This Row],[ Age]]&lt;=59,"50-59","60 or more"))))</f>
        <v>30-49</v>
      </c>
      <c r="AC130" s="8">
        <f ca="1">IF(ISBLANK(Table1[[#This Row],[DateofTermination]]),DATEDIF(Table1[[#This Row],[DateofHire]],TODAY(), "M"),DATEDIF(Table1[[#This Row],[DateofHire]],Table1[[#This Row],[DateofTermination]],"M"))/12</f>
        <v>9.5833333333333339</v>
      </c>
      <c r="AD130" t="str">
        <f>IF(Table1[[#This Row],[EmpSatisfaction]]=1,"Very Dissatisfied", IF(Table1[[#This Row],[EmpSatisfaction]] = 2, "Dissatisfied", IF(Table1[[#This Row],[EmpSatisfaction]]  = 3, "Neutral", IF(Table1[[#This Row],[EmpSatisfaction]] = 4, "Satisfied", IF(Table1[[#This Row],[EmpSatisfaction]]=5,"Very Satisfied", " ")))))</f>
        <v>Very Satisfied</v>
      </c>
      <c r="AE130">
        <f>YEAR(Table1[[#This Row],[DateofHire]])</f>
        <v>2014</v>
      </c>
      <c r="AF130" t="s">
        <v>25</v>
      </c>
    </row>
    <row r="131" spans="1:32" hidden="1" x14ac:dyDescent="0.3">
      <c r="A131" t="s">
        <v>235</v>
      </c>
      <c r="B131">
        <v>10195</v>
      </c>
      <c r="C131" t="s">
        <v>475</v>
      </c>
      <c r="D131" t="s">
        <v>489</v>
      </c>
      <c r="E131">
        <v>10026</v>
      </c>
      <c r="F131" s="1">
        <v>40770</v>
      </c>
      <c r="G131" s="7">
        <v>63478</v>
      </c>
      <c r="H131" t="s">
        <v>499</v>
      </c>
      <c r="I131" s="1">
        <v>30728</v>
      </c>
      <c r="J131" t="s">
        <v>31</v>
      </c>
      <c r="K131" t="s">
        <v>131</v>
      </c>
      <c r="L131" t="s">
        <v>24</v>
      </c>
      <c r="M131" t="s">
        <v>21</v>
      </c>
      <c r="N131">
        <v>2445</v>
      </c>
      <c r="O131" s="1">
        <v>41006</v>
      </c>
      <c r="P131" t="s">
        <v>522</v>
      </c>
      <c r="Q131" t="s">
        <v>32</v>
      </c>
      <c r="R131" t="s">
        <v>35</v>
      </c>
      <c r="S131" t="s">
        <v>36</v>
      </c>
      <c r="T131">
        <v>3.03</v>
      </c>
      <c r="U131">
        <v>5</v>
      </c>
      <c r="V131" s="1">
        <v>40973</v>
      </c>
      <c r="W131">
        <v>16</v>
      </c>
      <c r="X131" t="str">
        <f>INDEX(Position!B:B,MATCH(Table1[[#This Row],[Position ID]],Position!A:A, 0 ))</f>
        <v>Production Technician II</v>
      </c>
      <c r="Y131" t="str">
        <f>INDEX(Department!B:B,MATCH(Table1[[#This Row],[Department ID]],Department!A:A,0))</f>
        <v>Production</v>
      </c>
      <c r="Z131" t="str">
        <f>INDEX(Manager!B:B,MATCH(Table1[[#This Row],[Manger ID]],Manager!A:A,0))</f>
        <v>Michael Albert</v>
      </c>
      <c r="AA131">
        <f ca="1">DATEDIF(Table1[[#This Row],[DOB]],TODAY(), "Y")</f>
        <v>40</v>
      </c>
      <c r="AB131" t="str">
        <f ca="1">IF(Table1[[#This Row],[ Age]]&lt;18,"Less than 18",IF(Table1[[#This Row],[ Age]]&lt;=29,"18-29",IF(Table1[[#This Row],[ Age]]&lt;=49,"30-49",IF(Table1[[#This Row],[ Age]]&lt;=59,"50-59","60 or more"))))</f>
        <v>30-49</v>
      </c>
      <c r="AC131" s="8">
        <f ca="1">IF(ISBLANK(Table1[[#This Row],[DateofTermination]]),DATEDIF(Table1[[#This Row],[DateofHire]],TODAY(), "M"),DATEDIF(Table1[[#This Row],[DateofHire]],Table1[[#This Row],[DateofTermination]],"M"))/12</f>
        <v>0.58333333333333337</v>
      </c>
      <c r="AD131" t="str">
        <f>IF(Table1[[#This Row],[EmpSatisfaction]]=1,"Very Dissatisfied", IF(Table1[[#This Row],[EmpSatisfaction]] = 2, "Dissatisfied", IF(Table1[[#This Row],[EmpSatisfaction]]  = 3, "Neutral", IF(Table1[[#This Row],[EmpSatisfaction]] = 4, "Satisfied", IF(Table1[[#This Row],[EmpSatisfaction]]=5,"Very Satisfied", " ")))))</f>
        <v>Very Satisfied</v>
      </c>
      <c r="AE131">
        <f>YEAR(Table1[[#This Row],[DateofHire]])</f>
        <v>2011</v>
      </c>
      <c r="AF131" t="s">
        <v>535</v>
      </c>
    </row>
    <row r="132" spans="1:32" x14ac:dyDescent="0.3">
      <c r="A132" t="s">
        <v>236</v>
      </c>
      <c r="B132">
        <v>10112</v>
      </c>
      <c r="C132" t="s">
        <v>461</v>
      </c>
      <c r="D132" t="s">
        <v>488</v>
      </c>
      <c r="E132">
        <v>10084</v>
      </c>
      <c r="F132" s="1">
        <v>42093</v>
      </c>
      <c r="G132" s="7">
        <v>97999</v>
      </c>
      <c r="H132" t="s">
        <v>499</v>
      </c>
      <c r="I132" s="1">
        <v>30733</v>
      </c>
      <c r="J132" t="s">
        <v>22</v>
      </c>
      <c r="K132" t="s">
        <v>23</v>
      </c>
      <c r="L132" t="s">
        <v>24</v>
      </c>
      <c r="M132" t="s">
        <v>21</v>
      </c>
      <c r="N132">
        <v>2493</v>
      </c>
      <c r="P132" t="s">
        <v>512</v>
      </c>
      <c r="Q132" t="s">
        <v>25</v>
      </c>
      <c r="R132" t="s">
        <v>35</v>
      </c>
      <c r="S132" t="s">
        <v>36</v>
      </c>
      <c r="T132">
        <v>4.4800000000000004</v>
      </c>
      <c r="U132">
        <v>5</v>
      </c>
      <c r="V132" s="1">
        <v>43468</v>
      </c>
      <c r="W132">
        <v>4</v>
      </c>
      <c r="X132" t="str">
        <f>INDEX(Position!B:B,MATCH(Table1[[#This Row],[Position ID]],Position!A:A, 0 ))</f>
        <v>Database Administrator</v>
      </c>
      <c r="Y132" t="str">
        <f>INDEX(Department!B:B,MATCH(Table1[[#This Row],[Department ID]],Department!A:A,0))</f>
        <v>IT/IS</v>
      </c>
      <c r="Z132" t="str">
        <f>INDEX(Manager!B:B,MATCH(Table1[[#This Row],[Manger ID]],Manager!A:A,0))</f>
        <v>Simon Roup</v>
      </c>
      <c r="AA132">
        <f ca="1">DATEDIF(Table1[[#This Row],[DOB]],TODAY(), "Y")</f>
        <v>40</v>
      </c>
      <c r="AB132" t="str">
        <f ca="1">IF(Table1[[#This Row],[ Age]]&lt;18,"Less than 18",IF(Table1[[#This Row],[ Age]]&lt;=29,"18-29",IF(Table1[[#This Row],[ Age]]&lt;=49,"30-49",IF(Table1[[#This Row],[ Age]]&lt;=59,"50-59","60 or more"))))</f>
        <v>30-49</v>
      </c>
      <c r="AC132" s="8">
        <f ca="1">IF(ISBLANK(Table1[[#This Row],[DateofTermination]]),DATEDIF(Table1[[#This Row],[DateofHire]],TODAY(), "M"),DATEDIF(Table1[[#This Row],[DateofHire]],Table1[[#This Row],[DateofTermination]],"M"))/12</f>
        <v>9</v>
      </c>
      <c r="AD132" t="str">
        <f>IF(Table1[[#This Row],[EmpSatisfaction]]=1,"Very Dissatisfied", IF(Table1[[#This Row],[EmpSatisfaction]] = 2, "Dissatisfied", IF(Table1[[#This Row],[EmpSatisfaction]]  = 3, "Neutral", IF(Table1[[#This Row],[EmpSatisfaction]] = 4, "Satisfied", IF(Table1[[#This Row],[EmpSatisfaction]]=5,"Very Satisfied", " ")))))</f>
        <v>Very Satisfied</v>
      </c>
      <c r="AE132">
        <f>YEAR(Table1[[#This Row],[DateofHire]])</f>
        <v>2015</v>
      </c>
      <c r="AF132" t="s">
        <v>25</v>
      </c>
    </row>
    <row r="133" spans="1:32" x14ac:dyDescent="0.3">
      <c r="A133" t="s">
        <v>237</v>
      </c>
      <c r="B133">
        <v>10272</v>
      </c>
      <c r="C133" t="s">
        <v>463</v>
      </c>
      <c r="D133" t="s">
        <v>490</v>
      </c>
      <c r="E133">
        <v>10175</v>
      </c>
      <c r="F133" s="1">
        <v>41764</v>
      </c>
      <c r="G133" s="7">
        <v>180000</v>
      </c>
      <c r="H133" t="s">
        <v>499</v>
      </c>
      <c r="I133" s="1">
        <v>24183</v>
      </c>
      <c r="J133" t="s">
        <v>31</v>
      </c>
      <c r="K133" t="s">
        <v>23</v>
      </c>
      <c r="L133" t="s">
        <v>24</v>
      </c>
      <c r="M133" t="s">
        <v>239</v>
      </c>
      <c r="N133">
        <v>2908</v>
      </c>
      <c r="P133" t="s">
        <v>512</v>
      </c>
      <c r="Q133" t="s">
        <v>25</v>
      </c>
      <c r="R133" t="s">
        <v>27</v>
      </c>
      <c r="S133" t="s">
        <v>36</v>
      </c>
      <c r="T133">
        <v>4.5</v>
      </c>
      <c r="U133">
        <v>4</v>
      </c>
      <c r="V133" s="1">
        <v>43486</v>
      </c>
      <c r="W133">
        <v>19</v>
      </c>
      <c r="X133" t="str">
        <f>INDEX(Position!B:B,MATCH(Table1[[#This Row],[Position ID]],Position!A:A, 0 ))</f>
        <v>Director of Sales</v>
      </c>
      <c r="Y133" t="str">
        <f>INDEX(Department!B:B,MATCH(Table1[[#This Row],[Department ID]],Department!A:A,0))</f>
        <v>Sales</v>
      </c>
      <c r="Z133" t="str">
        <f>INDEX(Manager!B:B,MATCH(Table1[[#This Row],[Manger ID]],Manager!A:A,0))</f>
        <v>Janet King</v>
      </c>
      <c r="AA133">
        <f ca="1">DATEDIF(Table1[[#This Row],[DOB]],TODAY(), "Y")</f>
        <v>58</v>
      </c>
      <c r="AB133" t="str">
        <f ca="1">IF(Table1[[#This Row],[ Age]]&lt;18,"Less than 18",IF(Table1[[#This Row],[ Age]]&lt;=29,"18-29",IF(Table1[[#This Row],[ Age]]&lt;=49,"30-49",IF(Table1[[#This Row],[ Age]]&lt;=59,"50-59","60 or more"))))</f>
        <v>50-59</v>
      </c>
      <c r="AC133" s="8">
        <f ca="1">IF(ISBLANK(Table1[[#This Row],[DateofTermination]]),DATEDIF(Table1[[#This Row],[DateofHire]],TODAY(), "M"),DATEDIF(Table1[[#This Row],[DateofHire]],Table1[[#This Row],[DateofTermination]],"M"))/12</f>
        <v>9.9166666666666661</v>
      </c>
      <c r="AD133" t="str">
        <f>IF(Table1[[#This Row],[EmpSatisfaction]]=1,"Very Dissatisfied", IF(Table1[[#This Row],[EmpSatisfaction]] = 2, "Dissatisfied", IF(Table1[[#This Row],[EmpSatisfaction]]  = 3, "Neutral", IF(Table1[[#This Row],[EmpSatisfaction]] = 4, "Satisfied", IF(Table1[[#This Row],[EmpSatisfaction]]=5,"Very Satisfied", " ")))))</f>
        <v>Satisfied</v>
      </c>
      <c r="AE133">
        <f>YEAR(Table1[[#This Row],[DateofHire]])</f>
        <v>2014</v>
      </c>
      <c r="AF133" t="s">
        <v>25</v>
      </c>
    </row>
    <row r="134" spans="1:32" hidden="1" x14ac:dyDescent="0.3">
      <c r="A134" t="s">
        <v>240</v>
      </c>
      <c r="B134">
        <v>10182</v>
      </c>
      <c r="C134" t="s">
        <v>453</v>
      </c>
      <c r="D134" t="s">
        <v>486</v>
      </c>
      <c r="E134">
        <v>10081</v>
      </c>
      <c r="F134" s="1">
        <v>42051</v>
      </c>
      <c r="G134" s="7">
        <v>49920</v>
      </c>
      <c r="H134" t="s">
        <v>499</v>
      </c>
      <c r="I134" s="1">
        <v>31306</v>
      </c>
      <c r="J134" t="s">
        <v>31</v>
      </c>
      <c r="K134" t="s">
        <v>23</v>
      </c>
      <c r="L134" t="s">
        <v>57</v>
      </c>
      <c r="M134" t="s">
        <v>21</v>
      </c>
      <c r="N134">
        <v>2170</v>
      </c>
      <c r="O134" s="1">
        <v>42109</v>
      </c>
      <c r="P134" t="s">
        <v>525</v>
      </c>
      <c r="Q134" t="s">
        <v>75</v>
      </c>
      <c r="R134" t="s">
        <v>35</v>
      </c>
      <c r="S134" t="s">
        <v>36</v>
      </c>
      <c r="T134">
        <v>3.24</v>
      </c>
      <c r="U134">
        <v>3</v>
      </c>
      <c r="V134" s="1">
        <v>42109</v>
      </c>
      <c r="W134">
        <v>6</v>
      </c>
      <c r="X134" t="str">
        <f>INDEX(Position!B:B,MATCH(Table1[[#This Row],[Position ID]],Position!A:A, 0 ))</f>
        <v>Administrative Assistant</v>
      </c>
      <c r="Y134" t="str">
        <f>INDEX(Department!B:B,MATCH(Table1[[#This Row],[Department ID]],Department!A:A,0))</f>
        <v>Admin Offices</v>
      </c>
      <c r="Z134" t="str">
        <f>INDEX(Manager!B:B,MATCH(Table1[[#This Row],[Manger ID]],Manager!A:A,0))</f>
        <v>Brandon R. LeBlanc</v>
      </c>
      <c r="AA134">
        <f ca="1">DATEDIF(Table1[[#This Row],[DOB]],TODAY(), "Y")</f>
        <v>38</v>
      </c>
      <c r="AB134" t="str">
        <f ca="1">IF(Table1[[#This Row],[ Age]]&lt;18,"Less than 18",IF(Table1[[#This Row],[ Age]]&lt;=29,"18-29",IF(Table1[[#This Row],[ Age]]&lt;=49,"30-49",IF(Table1[[#This Row],[ Age]]&lt;=59,"50-59","60 or more"))))</f>
        <v>30-49</v>
      </c>
      <c r="AC134" s="8">
        <f ca="1">IF(ISBLANK(Table1[[#This Row],[DateofTermination]]),DATEDIF(Table1[[#This Row],[DateofHire]],TODAY(), "M"),DATEDIF(Table1[[#This Row],[DateofHire]],Table1[[#This Row],[DateofTermination]],"M"))/12</f>
        <v>8.3333333333333329E-2</v>
      </c>
      <c r="AD134" t="str">
        <f>IF(Table1[[#This Row],[EmpSatisfaction]]=1,"Very Dissatisfied", IF(Table1[[#This Row],[EmpSatisfaction]] = 2, "Dissatisfied", IF(Table1[[#This Row],[EmpSatisfaction]]  = 3, "Neutral", IF(Table1[[#This Row],[EmpSatisfaction]] = 4, "Satisfied", IF(Table1[[#This Row],[EmpSatisfaction]]=5,"Very Satisfied", " ")))))</f>
        <v>Neutral</v>
      </c>
      <c r="AE134">
        <f>YEAR(Table1[[#This Row],[DateofHire]])</f>
        <v>2015</v>
      </c>
      <c r="AF134" t="s">
        <v>535</v>
      </c>
    </row>
    <row r="135" spans="1:32" x14ac:dyDescent="0.3">
      <c r="A135" t="s">
        <v>242</v>
      </c>
      <c r="B135">
        <v>10248</v>
      </c>
      <c r="C135" t="s">
        <v>474</v>
      </c>
      <c r="D135" t="s">
        <v>489</v>
      </c>
      <c r="E135">
        <v>10062</v>
      </c>
      <c r="F135" s="1">
        <v>40959</v>
      </c>
      <c r="G135" s="7">
        <v>55425</v>
      </c>
      <c r="H135" t="s">
        <v>499</v>
      </c>
      <c r="I135" s="1">
        <v>31573</v>
      </c>
      <c r="J135" t="s">
        <v>22</v>
      </c>
      <c r="K135" t="s">
        <v>23</v>
      </c>
      <c r="L135" t="s">
        <v>24</v>
      </c>
      <c r="M135" t="s">
        <v>21</v>
      </c>
      <c r="N135">
        <v>2176</v>
      </c>
      <c r="P135" t="s">
        <v>512</v>
      </c>
      <c r="Q135" t="s">
        <v>25</v>
      </c>
      <c r="R135" t="s">
        <v>27</v>
      </c>
      <c r="S135" t="s">
        <v>36</v>
      </c>
      <c r="T135">
        <v>4.8</v>
      </c>
      <c r="U135">
        <v>4</v>
      </c>
      <c r="V135" s="1">
        <v>43472</v>
      </c>
      <c r="W135">
        <v>4</v>
      </c>
      <c r="X135" t="str">
        <f>INDEX(Position!B:B,MATCH(Table1[[#This Row],[Position ID]],Position!A:A, 0 ))</f>
        <v>Production Technician I</v>
      </c>
      <c r="Y135" t="str">
        <f>INDEX(Department!B:B,MATCH(Table1[[#This Row],[Department ID]],Department!A:A,0))</f>
        <v>Production</v>
      </c>
      <c r="Z135" t="str">
        <f>INDEX(Manager!B:B,MATCH(Table1[[#This Row],[Manger ID]],Manager!A:A,0))</f>
        <v>Ketsia Liebig</v>
      </c>
      <c r="AA135">
        <f ca="1">DATEDIF(Table1[[#This Row],[DOB]],TODAY(), "Y")</f>
        <v>37</v>
      </c>
      <c r="AB135" t="str">
        <f ca="1">IF(Table1[[#This Row],[ Age]]&lt;18,"Less than 18",IF(Table1[[#This Row],[ Age]]&lt;=29,"18-29",IF(Table1[[#This Row],[ Age]]&lt;=49,"30-49",IF(Table1[[#This Row],[ Age]]&lt;=59,"50-59","60 or more"))))</f>
        <v>30-49</v>
      </c>
      <c r="AC135" s="8">
        <f ca="1">IF(ISBLANK(Table1[[#This Row],[DateofTermination]]),DATEDIF(Table1[[#This Row],[DateofHire]],TODAY(), "M"),DATEDIF(Table1[[#This Row],[DateofHire]],Table1[[#This Row],[DateofTermination]],"M"))/12</f>
        <v>12.083333333333334</v>
      </c>
      <c r="AD135" t="str">
        <f>IF(Table1[[#This Row],[EmpSatisfaction]]=1,"Very Dissatisfied", IF(Table1[[#This Row],[EmpSatisfaction]] = 2, "Dissatisfied", IF(Table1[[#This Row],[EmpSatisfaction]]  = 3, "Neutral", IF(Table1[[#This Row],[EmpSatisfaction]] = 4, "Satisfied", IF(Table1[[#This Row],[EmpSatisfaction]]=5,"Very Satisfied", " ")))))</f>
        <v>Satisfied</v>
      </c>
      <c r="AE135">
        <f>YEAR(Table1[[#This Row],[DateofHire]])</f>
        <v>2012</v>
      </c>
      <c r="AF135" t="s">
        <v>25</v>
      </c>
    </row>
    <row r="136" spans="1:32" x14ac:dyDescent="0.3">
      <c r="A136" t="s">
        <v>243</v>
      </c>
      <c r="B136">
        <v>10201</v>
      </c>
      <c r="C136" t="s">
        <v>475</v>
      </c>
      <c r="D136" t="s">
        <v>489</v>
      </c>
      <c r="E136">
        <v>10088</v>
      </c>
      <c r="F136" s="1">
        <v>42527</v>
      </c>
      <c r="G136" s="7">
        <v>69340</v>
      </c>
      <c r="H136" t="s">
        <v>499</v>
      </c>
      <c r="I136" s="1">
        <v>30752</v>
      </c>
      <c r="J136" t="s">
        <v>22</v>
      </c>
      <c r="K136" t="s">
        <v>23</v>
      </c>
      <c r="L136" t="s">
        <v>24</v>
      </c>
      <c r="M136" t="s">
        <v>21</v>
      </c>
      <c r="N136">
        <v>2021</v>
      </c>
      <c r="P136" t="s">
        <v>512</v>
      </c>
      <c r="Q136" t="s">
        <v>25</v>
      </c>
      <c r="R136" t="s">
        <v>27</v>
      </c>
      <c r="S136" t="s">
        <v>36</v>
      </c>
      <c r="T136">
        <v>3</v>
      </c>
      <c r="U136">
        <v>5</v>
      </c>
      <c r="V136" s="1">
        <v>43483</v>
      </c>
      <c r="W136">
        <v>4</v>
      </c>
      <c r="X136" t="str">
        <f>INDEX(Position!B:B,MATCH(Table1[[#This Row],[Position ID]],Position!A:A, 0 ))</f>
        <v>Production Technician II</v>
      </c>
      <c r="Y136" t="str">
        <f>INDEX(Department!B:B,MATCH(Table1[[#This Row],[Department ID]],Department!A:A,0))</f>
        <v>Production</v>
      </c>
      <c r="Z136" t="str">
        <f>INDEX(Manager!B:B,MATCH(Table1[[#This Row],[Manger ID]],Manager!A:A,0))</f>
        <v>Elijiah Gray</v>
      </c>
      <c r="AA136">
        <f ca="1">DATEDIF(Table1[[#This Row],[DOB]],TODAY(), "Y")</f>
        <v>40</v>
      </c>
      <c r="AB136" t="str">
        <f ca="1">IF(Table1[[#This Row],[ Age]]&lt;18,"Less than 18",IF(Table1[[#This Row],[ Age]]&lt;=29,"18-29",IF(Table1[[#This Row],[ Age]]&lt;=49,"30-49",IF(Table1[[#This Row],[ Age]]&lt;=59,"50-59","60 or more"))))</f>
        <v>30-49</v>
      </c>
      <c r="AC136" s="8">
        <f ca="1">IF(ISBLANK(Table1[[#This Row],[DateofTermination]]),DATEDIF(Table1[[#This Row],[DateofHire]],TODAY(), "M"),DATEDIF(Table1[[#This Row],[DateofHire]],Table1[[#This Row],[DateofTermination]],"M"))/12</f>
        <v>7.833333333333333</v>
      </c>
      <c r="AD136" t="str">
        <f>IF(Table1[[#This Row],[EmpSatisfaction]]=1,"Very Dissatisfied", IF(Table1[[#This Row],[EmpSatisfaction]] = 2, "Dissatisfied", IF(Table1[[#This Row],[EmpSatisfaction]]  = 3, "Neutral", IF(Table1[[#This Row],[EmpSatisfaction]] = 4, "Satisfied", IF(Table1[[#This Row],[EmpSatisfaction]]=5,"Very Satisfied", " ")))))</f>
        <v>Very Satisfied</v>
      </c>
      <c r="AE136">
        <f>YEAR(Table1[[#This Row],[DateofHire]])</f>
        <v>2016</v>
      </c>
      <c r="AF136" t="s">
        <v>25</v>
      </c>
    </row>
    <row r="137" spans="1:32" x14ac:dyDescent="0.3">
      <c r="A137" t="s">
        <v>244</v>
      </c>
      <c r="B137">
        <v>10214</v>
      </c>
      <c r="C137" t="s">
        <v>475</v>
      </c>
      <c r="D137" t="s">
        <v>489</v>
      </c>
      <c r="E137">
        <v>10069</v>
      </c>
      <c r="F137" s="1">
        <v>42160</v>
      </c>
      <c r="G137" s="7">
        <v>64995</v>
      </c>
      <c r="H137" t="s">
        <v>499</v>
      </c>
      <c r="I137" s="1">
        <v>33731</v>
      </c>
      <c r="J137" t="s">
        <v>105</v>
      </c>
      <c r="K137" t="s">
        <v>23</v>
      </c>
      <c r="L137" t="s">
        <v>24</v>
      </c>
      <c r="M137" t="s">
        <v>21</v>
      </c>
      <c r="N137">
        <v>2351</v>
      </c>
      <c r="P137" t="s">
        <v>512</v>
      </c>
      <c r="Q137" t="s">
        <v>25</v>
      </c>
      <c r="R137" t="s">
        <v>35</v>
      </c>
      <c r="S137" t="s">
        <v>36</v>
      </c>
      <c r="T137">
        <v>4.5</v>
      </c>
      <c r="U137">
        <v>3</v>
      </c>
      <c r="V137" s="1">
        <v>43510</v>
      </c>
      <c r="W137">
        <v>6</v>
      </c>
      <c r="X137" t="str">
        <f>INDEX(Position!B:B,MATCH(Table1[[#This Row],[Position ID]],Position!A:A, 0 ))</f>
        <v>Production Technician II</v>
      </c>
      <c r="Y137" t="str">
        <f>INDEX(Department!B:B,MATCH(Table1[[#This Row],[Department ID]],Department!A:A,0))</f>
        <v>Production</v>
      </c>
      <c r="Z137" t="str">
        <f>INDEX(Manager!B:B,MATCH(Table1[[#This Row],[Manger ID]],Manager!A:A,0))</f>
        <v>Webster Butler</v>
      </c>
      <c r="AA137">
        <f ca="1">DATEDIF(Table1[[#This Row],[DOB]],TODAY(), "Y")</f>
        <v>31</v>
      </c>
      <c r="AB137" t="str">
        <f ca="1">IF(Table1[[#This Row],[ Age]]&lt;18,"Less than 18",IF(Table1[[#This Row],[ Age]]&lt;=29,"18-29",IF(Table1[[#This Row],[ Age]]&lt;=49,"30-49",IF(Table1[[#This Row],[ Age]]&lt;=59,"50-59","60 or more"))))</f>
        <v>30-49</v>
      </c>
      <c r="AC137" s="8">
        <f ca="1">IF(ISBLANK(Table1[[#This Row],[DateofTermination]]),DATEDIF(Table1[[#This Row],[DateofHire]],TODAY(), "M"),DATEDIF(Table1[[#This Row],[DateofHire]],Table1[[#This Row],[DateofTermination]],"M"))/12</f>
        <v>8.8333333333333339</v>
      </c>
      <c r="AD137" t="str">
        <f>IF(Table1[[#This Row],[EmpSatisfaction]]=1,"Very Dissatisfied", IF(Table1[[#This Row],[EmpSatisfaction]] = 2, "Dissatisfied", IF(Table1[[#This Row],[EmpSatisfaction]]  = 3, "Neutral", IF(Table1[[#This Row],[EmpSatisfaction]] = 4, "Satisfied", IF(Table1[[#This Row],[EmpSatisfaction]]=5,"Very Satisfied", " ")))))</f>
        <v>Neutral</v>
      </c>
      <c r="AE137">
        <f>YEAR(Table1[[#This Row],[DateofHire]])</f>
        <v>2015</v>
      </c>
      <c r="AF137" t="s">
        <v>25</v>
      </c>
    </row>
    <row r="138" spans="1:32" hidden="1" x14ac:dyDescent="0.3">
      <c r="A138" t="s">
        <v>245</v>
      </c>
      <c r="B138">
        <v>10160</v>
      </c>
      <c r="C138" t="s">
        <v>475</v>
      </c>
      <c r="D138" t="s">
        <v>489</v>
      </c>
      <c r="E138">
        <v>10002</v>
      </c>
      <c r="F138" s="1">
        <v>40595</v>
      </c>
      <c r="G138" s="7">
        <v>68182</v>
      </c>
      <c r="H138" t="s">
        <v>499</v>
      </c>
      <c r="I138" s="1">
        <v>28025</v>
      </c>
      <c r="J138" t="s">
        <v>43</v>
      </c>
      <c r="K138" t="s">
        <v>23</v>
      </c>
      <c r="L138" t="s">
        <v>24</v>
      </c>
      <c r="M138" t="s">
        <v>21</v>
      </c>
      <c r="N138">
        <v>1742</v>
      </c>
      <c r="O138" s="1">
        <v>41365</v>
      </c>
      <c r="P138" t="s">
        <v>517</v>
      </c>
      <c r="Q138" t="s">
        <v>32</v>
      </c>
      <c r="R138" t="s">
        <v>45</v>
      </c>
      <c r="S138" t="s">
        <v>36</v>
      </c>
      <c r="T138">
        <v>3.72</v>
      </c>
      <c r="U138">
        <v>3</v>
      </c>
      <c r="V138" s="1">
        <v>41306</v>
      </c>
      <c r="W138">
        <v>18</v>
      </c>
      <c r="X138" t="str">
        <f>INDEX(Position!B:B,MATCH(Table1[[#This Row],[Position ID]],Position!A:A, 0 ))</f>
        <v>Production Technician II</v>
      </c>
      <c r="Y138" t="str">
        <f>INDEX(Department!B:B,MATCH(Table1[[#This Row],[Department ID]],Department!A:A,0))</f>
        <v>Production</v>
      </c>
      <c r="Z138" t="str">
        <f>INDEX(Manager!B:B,MATCH(Table1[[#This Row],[Manger ID]],Manager!A:A,0))</f>
        <v>Amy Dunn</v>
      </c>
      <c r="AA138">
        <f ca="1">DATEDIF(Table1[[#This Row],[DOB]],TODAY(), "Y")</f>
        <v>47</v>
      </c>
      <c r="AB138" t="str">
        <f ca="1">IF(Table1[[#This Row],[ Age]]&lt;18,"Less than 18",IF(Table1[[#This Row],[ Age]]&lt;=29,"18-29",IF(Table1[[#This Row],[ Age]]&lt;=49,"30-49",IF(Table1[[#This Row],[ Age]]&lt;=59,"50-59","60 or more"))))</f>
        <v>30-49</v>
      </c>
      <c r="AC138" s="8">
        <f ca="1">IF(ISBLANK(Table1[[#This Row],[DateofTermination]]),DATEDIF(Table1[[#This Row],[DateofHire]],TODAY(), "M"),DATEDIF(Table1[[#This Row],[DateofHire]],Table1[[#This Row],[DateofTermination]],"M"))/12</f>
        <v>2.0833333333333335</v>
      </c>
      <c r="AD138" t="str">
        <f>IF(Table1[[#This Row],[EmpSatisfaction]]=1,"Very Dissatisfied", IF(Table1[[#This Row],[EmpSatisfaction]] = 2, "Dissatisfied", IF(Table1[[#This Row],[EmpSatisfaction]]  = 3, "Neutral", IF(Table1[[#This Row],[EmpSatisfaction]] = 4, "Satisfied", IF(Table1[[#This Row],[EmpSatisfaction]]=5,"Very Satisfied", " ")))))</f>
        <v>Neutral</v>
      </c>
      <c r="AE138">
        <f>YEAR(Table1[[#This Row],[DateofHire]])</f>
        <v>2011</v>
      </c>
      <c r="AF138" t="s">
        <v>535</v>
      </c>
    </row>
    <row r="139" spans="1:32" hidden="1" x14ac:dyDescent="0.3">
      <c r="A139" t="s">
        <v>246</v>
      </c>
      <c r="B139">
        <v>10289</v>
      </c>
      <c r="C139" t="s">
        <v>473</v>
      </c>
      <c r="D139" t="s">
        <v>489</v>
      </c>
      <c r="E139">
        <v>10175</v>
      </c>
      <c r="F139" s="1">
        <v>40595</v>
      </c>
      <c r="G139" s="7">
        <v>83082</v>
      </c>
      <c r="H139" t="s">
        <v>498</v>
      </c>
      <c r="I139" s="1">
        <v>28079</v>
      </c>
      <c r="J139" t="s">
        <v>31</v>
      </c>
      <c r="K139" t="s">
        <v>23</v>
      </c>
      <c r="L139" t="s">
        <v>82</v>
      </c>
      <c r="M139" t="s">
        <v>21</v>
      </c>
      <c r="N139">
        <v>2128</v>
      </c>
      <c r="O139" s="1">
        <v>41176</v>
      </c>
      <c r="P139" t="s">
        <v>517</v>
      </c>
      <c r="Q139" t="s">
        <v>32</v>
      </c>
      <c r="R139" t="s">
        <v>35</v>
      </c>
      <c r="S139" t="s">
        <v>88</v>
      </c>
      <c r="T139">
        <v>2.34</v>
      </c>
      <c r="U139">
        <v>2</v>
      </c>
      <c r="V139" s="1">
        <v>41011</v>
      </c>
      <c r="W139">
        <v>4</v>
      </c>
      <c r="X139" t="str">
        <f>INDEX(Position!B:B,MATCH(Table1[[#This Row],[Position ID]],Position!A:A, 0 ))</f>
        <v>Production Manager</v>
      </c>
      <c r="Y139" t="str">
        <f>INDEX(Department!B:B,MATCH(Table1[[#This Row],[Department ID]],Department!A:A,0))</f>
        <v>Production</v>
      </c>
      <c r="Z139" t="str">
        <f>INDEX(Manager!B:B,MATCH(Table1[[#This Row],[Manger ID]],Manager!A:A,0))</f>
        <v>Janet King</v>
      </c>
      <c r="AA139">
        <f ca="1">DATEDIF(Table1[[#This Row],[DOB]],TODAY(), "Y")</f>
        <v>47</v>
      </c>
      <c r="AB139" t="str">
        <f ca="1">IF(Table1[[#This Row],[ Age]]&lt;18,"Less than 18",IF(Table1[[#This Row],[ Age]]&lt;=29,"18-29",IF(Table1[[#This Row],[ Age]]&lt;=49,"30-49",IF(Table1[[#This Row],[ Age]]&lt;=59,"50-59","60 or more"))))</f>
        <v>30-49</v>
      </c>
      <c r="AC139" s="8">
        <f ca="1">IF(ISBLANK(Table1[[#This Row],[DateofTermination]]),DATEDIF(Table1[[#This Row],[DateofHire]],TODAY(), "M"),DATEDIF(Table1[[#This Row],[DateofHire]],Table1[[#This Row],[DateofTermination]],"M"))/12</f>
        <v>1.5833333333333333</v>
      </c>
      <c r="AD139" t="str">
        <f>IF(Table1[[#This Row],[EmpSatisfaction]]=1,"Very Dissatisfied", IF(Table1[[#This Row],[EmpSatisfaction]] = 2, "Dissatisfied", IF(Table1[[#This Row],[EmpSatisfaction]]  = 3, "Neutral", IF(Table1[[#This Row],[EmpSatisfaction]] = 4, "Satisfied", IF(Table1[[#This Row],[EmpSatisfaction]]=5,"Very Satisfied", " ")))))</f>
        <v>Dissatisfied</v>
      </c>
      <c r="AE139">
        <f>YEAR(Table1[[#This Row],[DateofHire]])</f>
        <v>2011</v>
      </c>
      <c r="AF139" t="s">
        <v>535</v>
      </c>
    </row>
    <row r="140" spans="1:32" x14ac:dyDescent="0.3">
      <c r="A140" t="s">
        <v>247</v>
      </c>
      <c r="B140">
        <v>10139</v>
      </c>
      <c r="C140" t="s">
        <v>474</v>
      </c>
      <c r="D140" t="s">
        <v>489</v>
      </c>
      <c r="E140">
        <v>10114</v>
      </c>
      <c r="F140" s="1">
        <v>41505</v>
      </c>
      <c r="G140" s="7">
        <v>51908</v>
      </c>
      <c r="H140" t="s">
        <v>499</v>
      </c>
      <c r="I140" s="1">
        <v>33266</v>
      </c>
      <c r="J140" t="s">
        <v>22</v>
      </c>
      <c r="K140" t="s">
        <v>23</v>
      </c>
      <c r="L140" t="s">
        <v>24</v>
      </c>
      <c r="M140" t="s">
        <v>21</v>
      </c>
      <c r="N140">
        <v>1775</v>
      </c>
      <c r="P140" t="s">
        <v>512</v>
      </c>
      <c r="Q140" t="s">
        <v>25</v>
      </c>
      <c r="R140" t="s">
        <v>35</v>
      </c>
      <c r="S140" t="s">
        <v>36</v>
      </c>
      <c r="T140">
        <v>3.99</v>
      </c>
      <c r="U140">
        <v>3</v>
      </c>
      <c r="V140" s="1">
        <v>43479</v>
      </c>
      <c r="W140">
        <v>14</v>
      </c>
      <c r="X140" t="str">
        <f>INDEX(Position!B:B,MATCH(Table1[[#This Row],[Position ID]],Position!A:A, 0 ))</f>
        <v>Production Technician I</v>
      </c>
      <c r="Y140" t="str">
        <f>INDEX(Department!B:B,MATCH(Table1[[#This Row],[Department ID]],Department!A:A,0))</f>
        <v>Production</v>
      </c>
      <c r="Z140" t="str">
        <f>INDEX(Manager!B:B,MATCH(Table1[[#This Row],[Manger ID]],Manager!A:A,0))</f>
        <v>Brannon Miller</v>
      </c>
      <c r="AA140">
        <f ca="1">DATEDIF(Table1[[#This Row],[DOB]],TODAY(), "Y")</f>
        <v>33</v>
      </c>
      <c r="AB140" t="str">
        <f ca="1">IF(Table1[[#This Row],[ Age]]&lt;18,"Less than 18",IF(Table1[[#This Row],[ Age]]&lt;=29,"18-29",IF(Table1[[#This Row],[ Age]]&lt;=49,"30-49",IF(Table1[[#This Row],[ Age]]&lt;=59,"50-59","60 or more"))))</f>
        <v>30-49</v>
      </c>
      <c r="AC140" s="8">
        <f ca="1">IF(ISBLANK(Table1[[#This Row],[DateofTermination]]),DATEDIF(Table1[[#This Row],[DateofHire]],TODAY(), "M"),DATEDIF(Table1[[#This Row],[DateofHire]],Table1[[#This Row],[DateofTermination]],"M"))/12</f>
        <v>10.583333333333334</v>
      </c>
      <c r="AD140" t="str">
        <f>IF(Table1[[#This Row],[EmpSatisfaction]]=1,"Very Dissatisfied", IF(Table1[[#This Row],[EmpSatisfaction]] = 2, "Dissatisfied", IF(Table1[[#This Row],[EmpSatisfaction]]  = 3, "Neutral", IF(Table1[[#This Row],[EmpSatisfaction]] = 4, "Satisfied", IF(Table1[[#This Row],[EmpSatisfaction]]=5,"Very Satisfied", " ")))))</f>
        <v>Neutral</v>
      </c>
      <c r="AE140">
        <f>YEAR(Table1[[#This Row],[DateofHire]])</f>
        <v>2013</v>
      </c>
      <c r="AF140" t="s">
        <v>25</v>
      </c>
    </row>
    <row r="141" spans="1:32" x14ac:dyDescent="0.3">
      <c r="A141" t="s">
        <v>248</v>
      </c>
      <c r="B141">
        <v>10227</v>
      </c>
      <c r="C141" t="s">
        <v>474</v>
      </c>
      <c r="D141" t="s">
        <v>489</v>
      </c>
      <c r="E141">
        <v>10252</v>
      </c>
      <c r="F141" s="1">
        <v>41218</v>
      </c>
      <c r="G141" s="7">
        <v>61242</v>
      </c>
      <c r="H141" t="s">
        <v>499</v>
      </c>
      <c r="I141" s="1">
        <v>26553</v>
      </c>
      <c r="J141" t="s">
        <v>22</v>
      </c>
      <c r="K141" t="s">
        <v>23</v>
      </c>
      <c r="L141" t="s">
        <v>57</v>
      </c>
      <c r="M141" t="s">
        <v>21</v>
      </c>
      <c r="N141">
        <v>2081</v>
      </c>
      <c r="P141" t="s">
        <v>512</v>
      </c>
      <c r="Q141" t="s">
        <v>25</v>
      </c>
      <c r="R141" t="s">
        <v>27</v>
      </c>
      <c r="S141" t="s">
        <v>36</v>
      </c>
      <c r="T141">
        <v>4.0999999999999996</v>
      </c>
      <c r="U141">
        <v>3</v>
      </c>
      <c r="V141" s="1">
        <v>43482</v>
      </c>
      <c r="W141">
        <v>7</v>
      </c>
      <c r="X141" t="str">
        <f>INDEX(Position!B:B,MATCH(Table1[[#This Row],[Position ID]],Position!A:A, 0 ))</f>
        <v>Production Technician I</v>
      </c>
      <c r="Y141" t="str">
        <f>INDEX(Department!B:B,MATCH(Table1[[#This Row],[Department ID]],Department!A:A,0))</f>
        <v>Production</v>
      </c>
      <c r="Z141" t="str">
        <f>INDEX(Manager!B:B,MATCH(Table1[[#This Row],[Manger ID]],Manager!A:A,0))</f>
        <v>David Stanley</v>
      </c>
      <c r="AA141">
        <f ca="1">DATEDIF(Table1[[#This Row],[DOB]],TODAY(), "Y")</f>
        <v>51</v>
      </c>
      <c r="AB141" t="str">
        <f ca="1">IF(Table1[[#This Row],[ Age]]&lt;18,"Less than 18",IF(Table1[[#This Row],[ Age]]&lt;=29,"18-29",IF(Table1[[#This Row],[ Age]]&lt;=49,"30-49",IF(Table1[[#This Row],[ Age]]&lt;=59,"50-59","60 or more"))))</f>
        <v>50-59</v>
      </c>
      <c r="AC141" s="8">
        <f ca="1">IF(ISBLANK(Table1[[#This Row],[DateofTermination]]),DATEDIF(Table1[[#This Row],[DateofHire]],TODAY(), "M"),DATEDIF(Table1[[#This Row],[DateofHire]],Table1[[#This Row],[DateofTermination]],"M"))/12</f>
        <v>11.416666666666666</v>
      </c>
      <c r="AD141" t="str">
        <f>IF(Table1[[#This Row],[EmpSatisfaction]]=1,"Very Dissatisfied", IF(Table1[[#This Row],[EmpSatisfaction]] = 2, "Dissatisfied", IF(Table1[[#This Row],[EmpSatisfaction]]  = 3, "Neutral", IF(Table1[[#This Row],[EmpSatisfaction]] = 4, "Satisfied", IF(Table1[[#This Row],[EmpSatisfaction]]=5,"Very Satisfied", " ")))))</f>
        <v>Neutral</v>
      </c>
      <c r="AE141">
        <f>YEAR(Table1[[#This Row],[DateofHire]])</f>
        <v>2012</v>
      </c>
      <c r="AF141" t="s">
        <v>25</v>
      </c>
    </row>
    <row r="142" spans="1:32" x14ac:dyDescent="0.3">
      <c r="A142" t="s">
        <v>249</v>
      </c>
      <c r="B142">
        <v>10236</v>
      </c>
      <c r="C142" t="s">
        <v>474</v>
      </c>
      <c r="D142" t="s">
        <v>489</v>
      </c>
      <c r="E142">
        <v>10196</v>
      </c>
      <c r="F142" s="1">
        <v>41547</v>
      </c>
      <c r="G142" s="7">
        <v>45069</v>
      </c>
      <c r="H142" t="s">
        <v>499</v>
      </c>
      <c r="I142" s="1">
        <v>24188</v>
      </c>
      <c r="J142" t="s">
        <v>43</v>
      </c>
      <c r="K142" t="s">
        <v>23</v>
      </c>
      <c r="L142" t="s">
        <v>24</v>
      </c>
      <c r="M142" t="s">
        <v>21</v>
      </c>
      <c r="N142">
        <v>1778</v>
      </c>
      <c r="P142" t="s">
        <v>512</v>
      </c>
      <c r="Q142" t="s">
        <v>25</v>
      </c>
      <c r="R142" t="s">
        <v>55</v>
      </c>
      <c r="S142" t="s">
        <v>36</v>
      </c>
      <c r="T142">
        <v>4.3</v>
      </c>
      <c r="U142">
        <v>5</v>
      </c>
      <c r="V142" s="1">
        <v>43518</v>
      </c>
      <c r="W142">
        <v>7</v>
      </c>
      <c r="X142" t="str">
        <f>INDEX(Position!B:B,MATCH(Table1[[#This Row],[Position ID]],Position!A:A, 0 ))</f>
        <v>Production Technician I</v>
      </c>
      <c r="Y142" t="str">
        <f>INDEX(Department!B:B,MATCH(Table1[[#This Row],[Department ID]],Department!A:A,0))</f>
        <v>Production</v>
      </c>
      <c r="Z142" t="str">
        <f>INDEX(Manager!B:B,MATCH(Table1[[#This Row],[Manger ID]],Manager!A:A,0))</f>
        <v>Kissy Sullivan</v>
      </c>
      <c r="AA142">
        <f ca="1">DATEDIF(Table1[[#This Row],[DOB]],TODAY(), "Y")</f>
        <v>58</v>
      </c>
      <c r="AB142" t="str">
        <f ca="1">IF(Table1[[#This Row],[ Age]]&lt;18,"Less than 18",IF(Table1[[#This Row],[ Age]]&lt;=29,"18-29",IF(Table1[[#This Row],[ Age]]&lt;=49,"30-49",IF(Table1[[#This Row],[ Age]]&lt;=59,"50-59","60 or more"))))</f>
        <v>50-59</v>
      </c>
      <c r="AC142" s="8">
        <f ca="1">IF(ISBLANK(Table1[[#This Row],[DateofTermination]]),DATEDIF(Table1[[#This Row],[DateofHire]],TODAY(), "M"),DATEDIF(Table1[[#This Row],[DateofHire]],Table1[[#This Row],[DateofTermination]],"M"))/12</f>
        <v>10.5</v>
      </c>
      <c r="AD142" t="str">
        <f>IF(Table1[[#This Row],[EmpSatisfaction]]=1,"Very Dissatisfied", IF(Table1[[#This Row],[EmpSatisfaction]] = 2, "Dissatisfied", IF(Table1[[#This Row],[EmpSatisfaction]]  = 3, "Neutral", IF(Table1[[#This Row],[EmpSatisfaction]] = 4, "Satisfied", IF(Table1[[#This Row],[EmpSatisfaction]]=5,"Very Satisfied", " ")))))</f>
        <v>Very Satisfied</v>
      </c>
      <c r="AE142">
        <f>YEAR(Table1[[#This Row],[DateofHire]])</f>
        <v>2013</v>
      </c>
      <c r="AF142" t="s">
        <v>25</v>
      </c>
    </row>
    <row r="143" spans="1:32" x14ac:dyDescent="0.3">
      <c r="A143" t="s">
        <v>250</v>
      </c>
      <c r="B143">
        <v>10009</v>
      </c>
      <c r="C143" t="s">
        <v>475</v>
      </c>
      <c r="D143" t="s">
        <v>489</v>
      </c>
      <c r="E143">
        <v>10062</v>
      </c>
      <c r="F143" s="1">
        <v>40729</v>
      </c>
      <c r="G143" s="7">
        <v>60724</v>
      </c>
      <c r="H143" t="s">
        <v>499</v>
      </c>
      <c r="I143" s="1">
        <v>31722</v>
      </c>
      <c r="J143" t="s">
        <v>43</v>
      </c>
      <c r="K143" t="s">
        <v>23</v>
      </c>
      <c r="L143" t="s">
        <v>220</v>
      </c>
      <c r="M143" t="s">
        <v>21</v>
      </c>
      <c r="N143">
        <v>1821</v>
      </c>
      <c r="P143" t="s">
        <v>512</v>
      </c>
      <c r="Q143" t="s">
        <v>25</v>
      </c>
      <c r="R143" t="s">
        <v>27</v>
      </c>
      <c r="S143" t="s">
        <v>28</v>
      </c>
      <c r="T143">
        <v>4.5999999999999996</v>
      </c>
      <c r="U143">
        <v>4</v>
      </c>
      <c r="V143" s="1">
        <v>43521</v>
      </c>
      <c r="W143">
        <v>11</v>
      </c>
      <c r="X143" t="str">
        <f>INDEX(Position!B:B,MATCH(Table1[[#This Row],[Position ID]],Position!A:A, 0 ))</f>
        <v>Production Technician II</v>
      </c>
      <c r="Y143" t="str">
        <f>INDEX(Department!B:B,MATCH(Table1[[#This Row],[Department ID]],Department!A:A,0))</f>
        <v>Production</v>
      </c>
      <c r="Z143" t="str">
        <f>INDEX(Manager!B:B,MATCH(Table1[[#This Row],[Manger ID]],Manager!A:A,0))</f>
        <v>Ketsia Liebig</v>
      </c>
      <c r="AA143">
        <f ca="1">DATEDIF(Table1[[#This Row],[DOB]],TODAY(), "Y")</f>
        <v>37</v>
      </c>
      <c r="AB143" t="str">
        <f ca="1">IF(Table1[[#This Row],[ Age]]&lt;18,"Less than 18",IF(Table1[[#This Row],[ Age]]&lt;=29,"18-29",IF(Table1[[#This Row],[ Age]]&lt;=49,"30-49",IF(Table1[[#This Row],[ Age]]&lt;=59,"50-59","60 or more"))))</f>
        <v>30-49</v>
      </c>
      <c r="AC143" s="8">
        <f ca="1">IF(ISBLANK(Table1[[#This Row],[DateofTermination]]),DATEDIF(Table1[[#This Row],[DateofHire]],TODAY(), "M"),DATEDIF(Table1[[#This Row],[DateofHire]],Table1[[#This Row],[DateofTermination]],"M"))/12</f>
        <v>12.75</v>
      </c>
      <c r="AD143" t="str">
        <f>IF(Table1[[#This Row],[EmpSatisfaction]]=1,"Very Dissatisfied", IF(Table1[[#This Row],[EmpSatisfaction]] = 2, "Dissatisfied", IF(Table1[[#This Row],[EmpSatisfaction]]  = 3, "Neutral", IF(Table1[[#This Row],[EmpSatisfaction]] = 4, "Satisfied", IF(Table1[[#This Row],[EmpSatisfaction]]=5,"Very Satisfied", " ")))))</f>
        <v>Satisfied</v>
      </c>
      <c r="AE143">
        <f>YEAR(Table1[[#This Row],[DateofHire]])</f>
        <v>2011</v>
      </c>
      <c r="AF143" t="s">
        <v>25</v>
      </c>
    </row>
    <row r="144" spans="1:32" x14ac:dyDescent="0.3">
      <c r="A144" t="s">
        <v>251</v>
      </c>
      <c r="B144">
        <v>10060</v>
      </c>
      <c r="C144" t="s">
        <v>474</v>
      </c>
      <c r="D144" t="s">
        <v>489</v>
      </c>
      <c r="E144">
        <v>10265</v>
      </c>
      <c r="F144" s="1">
        <v>41645</v>
      </c>
      <c r="G144" s="7">
        <v>60436</v>
      </c>
      <c r="H144" t="s">
        <v>499</v>
      </c>
      <c r="I144" s="1">
        <v>23480</v>
      </c>
      <c r="J144" t="s">
        <v>105</v>
      </c>
      <c r="K144" t="s">
        <v>23</v>
      </c>
      <c r="L144" t="s">
        <v>24</v>
      </c>
      <c r="M144" t="s">
        <v>21</v>
      </c>
      <c r="N144">
        <v>2109</v>
      </c>
      <c r="P144" t="s">
        <v>512</v>
      </c>
      <c r="Q144" t="s">
        <v>25</v>
      </c>
      <c r="R144" t="s">
        <v>27</v>
      </c>
      <c r="S144" t="s">
        <v>36</v>
      </c>
      <c r="T144">
        <v>5</v>
      </c>
      <c r="U144">
        <v>5</v>
      </c>
      <c r="V144" s="1">
        <v>43486</v>
      </c>
      <c r="W144">
        <v>9</v>
      </c>
      <c r="X144" t="str">
        <f>INDEX(Position!B:B,MATCH(Table1[[#This Row],[Position ID]],Position!A:A, 0 ))</f>
        <v>Production Technician I</v>
      </c>
      <c r="Y144" t="str">
        <f>INDEX(Department!B:B,MATCH(Table1[[#This Row],[Department ID]],Department!A:A,0))</f>
        <v>Production</v>
      </c>
      <c r="Z144" t="str">
        <f>INDEX(Manager!B:B,MATCH(Table1[[#This Row],[Manger ID]],Manager!A:A,0))</f>
        <v>Kelley Spirea</v>
      </c>
      <c r="AA144">
        <f ca="1">DATEDIF(Table1[[#This Row],[DOB]],TODAY(), "Y")</f>
        <v>59</v>
      </c>
      <c r="AB144" t="str">
        <f ca="1">IF(Table1[[#This Row],[ Age]]&lt;18,"Less than 18",IF(Table1[[#This Row],[ Age]]&lt;=29,"18-29",IF(Table1[[#This Row],[ Age]]&lt;=49,"30-49",IF(Table1[[#This Row],[ Age]]&lt;=59,"50-59","60 or more"))))</f>
        <v>50-59</v>
      </c>
      <c r="AC144" s="8">
        <f ca="1">IF(ISBLANK(Table1[[#This Row],[DateofTermination]]),DATEDIF(Table1[[#This Row],[DateofHire]],TODAY(), "M"),DATEDIF(Table1[[#This Row],[DateofHire]],Table1[[#This Row],[DateofTermination]],"M"))/12</f>
        <v>10.25</v>
      </c>
      <c r="AD144" t="str">
        <f>IF(Table1[[#This Row],[EmpSatisfaction]]=1,"Very Dissatisfied", IF(Table1[[#This Row],[EmpSatisfaction]] = 2, "Dissatisfied", IF(Table1[[#This Row],[EmpSatisfaction]]  = 3, "Neutral", IF(Table1[[#This Row],[EmpSatisfaction]] = 4, "Satisfied", IF(Table1[[#This Row],[EmpSatisfaction]]=5,"Very Satisfied", " ")))))</f>
        <v>Very Satisfied</v>
      </c>
      <c r="AE144">
        <f>YEAR(Table1[[#This Row],[DateofHire]])</f>
        <v>2014</v>
      </c>
      <c r="AF144" t="s">
        <v>25</v>
      </c>
    </row>
    <row r="145" spans="1:32" hidden="1" x14ac:dyDescent="0.3">
      <c r="A145" t="s">
        <v>252</v>
      </c>
      <c r="B145">
        <v>10034</v>
      </c>
      <c r="C145" t="s">
        <v>474</v>
      </c>
      <c r="D145" t="s">
        <v>489</v>
      </c>
      <c r="E145">
        <v>10026</v>
      </c>
      <c r="F145" s="1">
        <v>40854</v>
      </c>
      <c r="G145" s="7">
        <v>46837</v>
      </c>
      <c r="H145" t="s">
        <v>498</v>
      </c>
      <c r="I145" s="1">
        <v>21781</v>
      </c>
      <c r="J145" t="s">
        <v>31</v>
      </c>
      <c r="K145" t="s">
        <v>23</v>
      </c>
      <c r="L145" t="s">
        <v>24</v>
      </c>
      <c r="M145" t="s">
        <v>21</v>
      </c>
      <c r="N145">
        <v>2445</v>
      </c>
      <c r="O145" s="1">
        <v>43219</v>
      </c>
      <c r="P145" t="s">
        <v>523</v>
      </c>
      <c r="Q145" t="s">
        <v>32</v>
      </c>
      <c r="R145" t="s">
        <v>87</v>
      </c>
      <c r="S145" t="s">
        <v>28</v>
      </c>
      <c r="T145">
        <v>4.7</v>
      </c>
      <c r="U145">
        <v>4</v>
      </c>
      <c r="V145" s="1">
        <v>43145</v>
      </c>
      <c r="W145">
        <v>9</v>
      </c>
      <c r="X145" t="str">
        <f>INDEX(Position!B:B,MATCH(Table1[[#This Row],[Position ID]],Position!A:A, 0 ))</f>
        <v>Production Technician I</v>
      </c>
      <c r="Y145" t="str">
        <f>INDEX(Department!B:B,MATCH(Table1[[#This Row],[Department ID]],Department!A:A,0))</f>
        <v>Production</v>
      </c>
      <c r="Z145" t="str">
        <f>INDEX(Manager!B:B,MATCH(Table1[[#This Row],[Manger ID]],Manager!A:A,0))</f>
        <v>Michael Albert</v>
      </c>
      <c r="AA145">
        <f ca="1">DATEDIF(Table1[[#This Row],[DOB]],TODAY(), "Y")</f>
        <v>64</v>
      </c>
      <c r="AB145" t="str">
        <f ca="1">IF(Table1[[#This Row],[ Age]]&lt;18,"Less than 18",IF(Table1[[#This Row],[ Age]]&lt;=29,"18-29",IF(Table1[[#This Row],[ Age]]&lt;=49,"30-49",IF(Table1[[#This Row],[ Age]]&lt;=59,"50-59","60 or more"))))</f>
        <v>60 or more</v>
      </c>
      <c r="AC145" s="8">
        <f ca="1">IF(ISBLANK(Table1[[#This Row],[DateofTermination]]),DATEDIF(Table1[[#This Row],[DateofHire]],TODAY(), "M"),DATEDIF(Table1[[#This Row],[DateofHire]],Table1[[#This Row],[DateofTermination]],"M"))/12</f>
        <v>6.416666666666667</v>
      </c>
      <c r="AD145" t="str">
        <f>IF(Table1[[#This Row],[EmpSatisfaction]]=1,"Very Dissatisfied", IF(Table1[[#This Row],[EmpSatisfaction]] = 2, "Dissatisfied", IF(Table1[[#This Row],[EmpSatisfaction]]  = 3, "Neutral", IF(Table1[[#This Row],[EmpSatisfaction]] = 4, "Satisfied", IF(Table1[[#This Row],[EmpSatisfaction]]=5,"Very Satisfied", " ")))))</f>
        <v>Satisfied</v>
      </c>
      <c r="AE145">
        <f>YEAR(Table1[[#This Row],[DateofHire]])</f>
        <v>2011</v>
      </c>
      <c r="AF145" t="s">
        <v>535</v>
      </c>
    </row>
    <row r="146" spans="1:32" x14ac:dyDescent="0.3">
      <c r="A146" t="s">
        <v>253</v>
      </c>
      <c r="B146">
        <v>10156</v>
      </c>
      <c r="C146" t="s">
        <v>461</v>
      </c>
      <c r="D146" t="s">
        <v>488</v>
      </c>
      <c r="E146">
        <v>10084</v>
      </c>
      <c r="F146" s="1">
        <v>42009</v>
      </c>
      <c r="G146" s="7">
        <v>105700</v>
      </c>
      <c r="H146" t="s">
        <v>499</v>
      </c>
      <c r="I146" s="1">
        <v>31723</v>
      </c>
      <c r="J146" t="s">
        <v>31</v>
      </c>
      <c r="K146" t="s">
        <v>23</v>
      </c>
      <c r="L146" t="s">
        <v>82</v>
      </c>
      <c r="M146" t="s">
        <v>21</v>
      </c>
      <c r="N146">
        <v>2301</v>
      </c>
      <c r="P146" t="s">
        <v>512</v>
      </c>
      <c r="Q146" t="s">
        <v>25</v>
      </c>
      <c r="R146" t="s">
        <v>35</v>
      </c>
      <c r="S146" t="s">
        <v>36</v>
      </c>
      <c r="T146">
        <v>3.75</v>
      </c>
      <c r="U146">
        <v>3</v>
      </c>
      <c r="V146" s="1">
        <v>43507</v>
      </c>
      <c r="W146">
        <v>2</v>
      </c>
      <c r="X146" t="str">
        <f>INDEX(Position!B:B,MATCH(Table1[[#This Row],[Position ID]],Position!A:A, 0 ))</f>
        <v>Database Administrator</v>
      </c>
      <c r="Y146" t="str">
        <f>INDEX(Department!B:B,MATCH(Table1[[#This Row],[Department ID]],Department!A:A,0))</f>
        <v>IT/IS</v>
      </c>
      <c r="Z146" t="str">
        <f>INDEX(Manager!B:B,MATCH(Table1[[#This Row],[Manger ID]],Manager!A:A,0))</f>
        <v>Simon Roup</v>
      </c>
      <c r="AA146">
        <f ca="1">DATEDIF(Table1[[#This Row],[DOB]],TODAY(), "Y")</f>
        <v>37</v>
      </c>
      <c r="AB146" t="str">
        <f ca="1">IF(Table1[[#This Row],[ Age]]&lt;18,"Less than 18",IF(Table1[[#This Row],[ Age]]&lt;=29,"18-29",IF(Table1[[#This Row],[ Age]]&lt;=49,"30-49",IF(Table1[[#This Row],[ Age]]&lt;=59,"50-59","60 or more"))))</f>
        <v>30-49</v>
      </c>
      <c r="AC146" s="8">
        <f ca="1">IF(ISBLANK(Table1[[#This Row],[DateofTermination]]),DATEDIF(Table1[[#This Row],[DateofHire]],TODAY(), "M"),DATEDIF(Table1[[#This Row],[DateofHire]],Table1[[#This Row],[DateofTermination]],"M"))/12</f>
        <v>9.25</v>
      </c>
      <c r="AD146" t="str">
        <f>IF(Table1[[#This Row],[EmpSatisfaction]]=1,"Very Dissatisfied", IF(Table1[[#This Row],[EmpSatisfaction]] = 2, "Dissatisfied", IF(Table1[[#This Row],[EmpSatisfaction]]  = 3, "Neutral", IF(Table1[[#This Row],[EmpSatisfaction]] = 4, "Satisfied", IF(Table1[[#This Row],[EmpSatisfaction]]=5,"Very Satisfied", " ")))))</f>
        <v>Neutral</v>
      </c>
      <c r="AE146">
        <f>YEAR(Table1[[#This Row],[DateofHire]])</f>
        <v>2015</v>
      </c>
      <c r="AF146" t="s">
        <v>25</v>
      </c>
    </row>
    <row r="147" spans="1:32" x14ac:dyDescent="0.3">
      <c r="A147" t="s">
        <v>254</v>
      </c>
      <c r="B147">
        <v>10036</v>
      </c>
      <c r="C147" t="s">
        <v>475</v>
      </c>
      <c r="D147" t="s">
        <v>489</v>
      </c>
      <c r="E147">
        <v>10114</v>
      </c>
      <c r="F147" s="1">
        <v>41827</v>
      </c>
      <c r="G147" s="7">
        <v>63322</v>
      </c>
      <c r="H147" t="s">
        <v>499</v>
      </c>
      <c r="I147" s="1">
        <v>25454</v>
      </c>
      <c r="J147" t="s">
        <v>22</v>
      </c>
      <c r="K147" t="s">
        <v>23</v>
      </c>
      <c r="L147" t="s">
        <v>24</v>
      </c>
      <c r="M147" t="s">
        <v>21</v>
      </c>
      <c r="N147">
        <v>2128</v>
      </c>
      <c r="P147" t="s">
        <v>512</v>
      </c>
      <c r="Q147" t="s">
        <v>25</v>
      </c>
      <c r="R147" t="s">
        <v>27</v>
      </c>
      <c r="S147" t="s">
        <v>28</v>
      </c>
      <c r="T147">
        <v>4.3</v>
      </c>
      <c r="U147">
        <v>3</v>
      </c>
      <c r="V147" s="1">
        <v>43476</v>
      </c>
      <c r="W147">
        <v>1</v>
      </c>
      <c r="X147" t="str">
        <f>INDEX(Position!B:B,MATCH(Table1[[#This Row],[Position ID]],Position!A:A, 0 ))</f>
        <v>Production Technician II</v>
      </c>
      <c r="Y147" t="str">
        <f>INDEX(Department!B:B,MATCH(Table1[[#This Row],[Department ID]],Department!A:A,0))</f>
        <v>Production</v>
      </c>
      <c r="Z147" t="str">
        <f>INDEX(Manager!B:B,MATCH(Table1[[#This Row],[Manger ID]],Manager!A:A,0))</f>
        <v>Brannon Miller</v>
      </c>
      <c r="AA147">
        <f ca="1">DATEDIF(Table1[[#This Row],[DOB]],TODAY(), "Y")</f>
        <v>54</v>
      </c>
      <c r="AB147" t="str">
        <f ca="1">IF(Table1[[#This Row],[ Age]]&lt;18,"Less than 18",IF(Table1[[#This Row],[ Age]]&lt;=29,"18-29",IF(Table1[[#This Row],[ Age]]&lt;=49,"30-49",IF(Table1[[#This Row],[ Age]]&lt;=59,"50-59","60 or more"))))</f>
        <v>50-59</v>
      </c>
      <c r="AC147" s="8">
        <f ca="1">IF(ISBLANK(Table1[[#This Row],[DateofTermination]]),DATEDIF(Table1[[#This Row],[DateofHire]],TODAY(), "M"),DATEDIF(Table1[[#This Row],[DateofHire]],Table1[[#This Row],[DateofTermination]],"M"))/12</f>
        <v>9.75</v>
      </c>
      <c r="AD147" t="str">
        <f>IF(Table1[[#This Row],[EmpSatisfaction]]=1,"Very Dissatisfied", IF(Table1[[#This Row],[EmpSatisfaction]] = 2, "Dissatisfied", IF(Table1[[#This Row],[EmpSatisfaction]]  = 3, "Neutral", IF(Table1[[#This Row],[EmpSatisfaction]] = 4, "Satisfied", IF(Table1[[#This Row],[EmpSatisfaction]]=5,"Very Satisfied", " ")))))</f>
        <v>Neutral</v>
      </c>
      <c r="AE147">
        <f>YEAR(Table1[[#This Row],[DateofHire]])</f>
        <v>2014</v>
      </c>
      <c r="AF147" t="s">
        <v>25</v>
      </c>
    </row>
    <row r="148" spans="1:32" hidden="1" x14ac:dyDescent="0.3">
      <c r="A148" t="s">
        <v>255</v>
      </c>
      <c r="B148">
        <v>10138</v>
      </c>
      <c r="C148" t="s">
        <v>474</v>
      </c>
      <c r="D148" t="s">
        <v>489</v>
      </c>
      <c r="E148">
        <v>10088</v>
      </c>
      <c r="F148" s="1">
        <v>40553</v>
      </c>
      <c r="G148" s="7">
        <v>61154</v>
      </c>
      <c r="H148" t="s">
        <v>499</v>
      </c>
      <c r="I148" s="1">
        <v>31519</v>
      </c>
      <c r="J148" t="s">
        <v>31</v>
      </c>
      <c r="K148" t="s">
        <v>23</v>
      </c>
      <c r="L148" t="s">
        <v>57</v>
      </c>
      <c r="M148" t="s">
        <v>21</v>
      </c>
      <c r="N148">
        <v>2446</v>
      </c>
      <c r="O148" s="1">
        <v>42461</v>
      </c>
      <c r="P148" t="s">
        <v>517</v>
      </c>
      <c r="Q148" t="s">
        <v>32</v>
      </c>
      <c r="R148" t="s">
        <v>87</v>
      </c>
      <c r="S148" t="s">
        <v>36</v>
      </c>
      <c r="T148">
        <v>4</v>
      </c>
      <c r="U148">
        <v>4</v>
      </c>
      <c r="V148" s="1">
        <v>42403</v>
      </c>
      <c r="W148">
        <v>4</v>
      </c>
      <c r="X148" t="str">
        <f>INDEX(Position!B:B,MATCH(Table1[[#This Row],[Position ID]],Position!A:A, 0 ))</f>
        <v>Production Technician I</v>
      </c>
      <c r="Y148" t="str">
        <f>INDEX(Department!B:B,MATCH(Table1[[#This Row],[Department ID]],Department!A:A,0))</f>
        <v>Production</v>
      </c>
      <c r="Z148" t="str">
        <f>INDEX(Manager!B:B,MATCH(Table1[[#This Row],[Manger ID]],Manager!A:A,0))</f>
        <v>Elijiah Gray</v>
      </c>
      <c r="AA148">
        <f ca="1">DATEDIF(Table1[[#This Row],[DOB]],TODAY(), "Y")</f>
        <v>37</v>
      </c>
      <c r="AB148" t="str">
        <f ca="1">IF(Table1[[#This Row],[ Age]]&lt;18,"Less than 18",IF(Table1[[#This Row],[ Age]]&lt;=29,"18-29",IF(Table1[[#This Row],[ Age]]&lt;=49,"30-49",IF(Table1[[#This Row],[ Age]]&lt;=59,"50-59","60 or more"))))</f>
        <v>30-49</v>
      </c>
      <c r="AC148" s="8">
        <f ca="1">IF(ISBLANK(Table1[[#This Row],[DateofTermination]]),DATEDIF(Table1[[#This Row],[DateofHire]],TODAY(), "M"),DATEDIF(Table1[[#This Row],[DateofHire]],Table1[[#This Row],[DateofTermination]],"M"))/12</f>
        <v>5.166666666666667</v>
      </c>
      <c r="AD148" t="str">
        <f>IF(Table1[[#This Row],[EmpSatisfaction]]=1,"Very Dissatisfied", IF(Table1[[#This Row],[EmpSatisfaction]] = 2, "Dissatisfied", IF(Table1[[#This Row],[EmpSatisfaction]]  = 3, "Neutral", IF(Table1[[#This Row],[EmpSatisfaction]] = 4, "Satisfied", IF(Table1[[#This Row],[EmpSatisfaction]]=5,"Very Satisfied", " ")))))</f>
        <v>Satisfied</v>
      </c>
      <c r="AE148">
        <f>YEAR(Table1[[#This Row],[DateofHire]])</f>
        <v>2011</v>
      </c>
      <c r="AF148" t="s">
        <v>535</v>
      </c>
    </row>
    <row r="149" spans="1:32" hidden="1" x14ac:dyDescent="0.3">
      <c r="A149" t="s">
        <v>256</v>
      </c>
      <c r="B149">
        <v>10244</v>
      </c>
      <c r="C149" t="s">
        <v>476</v>
      </c>
      <c r="D149" t="s">
        <v>490</v>
      </c>
      <c r="E149">
        <v>10099</v>
      </c>
      <c r="F149" s="1">
        <v>40854</v>
      </c>
      <c r="G149" s="7">
        <v>68999</v>
      </c>
      <c r="H149" t="s">
        <v>499</v>
      </c>
      <c r="I149" s="1">
        <v>32823</v>
      </c>
      <c r="J149" t="s">
        <v>22</v>
      </c>
      <c r="K149" t="s">
        <v>23</v>
      </c>
      <c r="L149" t="s">
        <v>24</v>
      </c>
      <c r="M149" t="s">
        <v>257</v>
      </c>
      <c r="N149">
        <v>19444</v>
      </c>
      <c r="O149" s="1">
        <v>41753</v>
      </c>
      <c r="P149" t="s">
        <v>527</v>
      </c>
      <c r="Q149" t="s">
        <v>32</v>
      </c>
      <c r="R149" t="s">
        <v>45</v>
      </c>
      <c r="S149" t="s">
        <v>36</v>
      </c>
      <c r="T149">
        <v>4.5</v>
      </c>
      <c r="U149">
        <v>5</v>
      </c>
      <c r="V149" s="1">
        <v>41363</v>
      </c>
      <c r="W149">
        <v>2</v>
      </c>
      <c r="X149" t="str">
        <f>INDEX(Position!B:B,MATCH(Table1[[#This Row],[Position ID]],Position!A:A, 0 ))</f>
        <v>Sales Manager</v>
      </c>
      <c r="Y149" t="str">
        <f>INDEX(Department!B:B,MATCH(Table1[[#This Row],[Department ID]],Department!A:A,0))</f>
        <v>Sales</v>
      </c>
      <c r="Z149" t="str">
        <f>INDEX(Manager!B:B,MATCH(Table1[[#This Row],[Manger ID]],Manager!A:A,0))</f>
        <v>Debra Houlihan</v>
      </c>
      <c r="AA149">
        <f ca="1">DATEDIF(Table1[[#This Row],[DOB]],TODAY(), "Y")</f>
        <v>34</v>
      </c>
      <c r="AB149" t="str">
        <f ca="1">IF(Table1[[#This Row],[ Age]]&lt;18,"Less than 18",IF(Table1[[#This Row],[ Age]]&lt;=29,"18-29",IF(Table1[[#This Row],[ Age]]&lt;=49,"30-49",IF(Table1[[#This Row],[ Age]]&lt;=59,"50-59","60 or more"))))</f>
        <v>30-49</v>
      </c>
      <c r="AC149" s="8">
        <f ca="1">IF(ISBLANK(Table1[[#This Row],[DateofTermination]]),DATEDIF(Table1[[#This Row],[DateofHire]],TODAY(), "M"),DATEDIF(Table1[[#This Row],[DateofHire]],Table1[[#This Row],[DateofTermination]],"M"))/12</f>
        <v>2.4166666666666665</v>
      </c>
      <c r="AD149" t="str">
        <f>IF(Table1[[#This Row],[EmpSatisfaction]]=1,"Very Dissatisfied", IF(Table1[[#This Row],[EmpSatisfaction]] = 2, "Dissatisfied", IF(Table1[[#This Row],[EmpSatisfaction]]  = 3, "Neutral", IF(Table1[[#This Row],[EmpSatisfaction]] = 4, "Satisfied", IF(Table1[[#This Row],[EmpSatisfaction]]=5,"Very Satisfied", " ")))))</f>
        <v>Very Satisfied</v>
      </c>
      <c r="AE149">
        <f>YEAR(Table1[[#This Row],[DateofHire]])</f>
        <v>2011</v>
      </c>
      <c r="AF149" t="s">
        <v>535</v>
      </c>
    </row>
    <row r="150" spans="1:32" x14ac:dyDescent="0.3">
      <c r="A150" t="s">
        <v>258</v>
      </c>
      <c r="B150">
        <v>10192</v>
      </c>
      <c r="C150" t="s">
        <v>474</v>
      </c>
      <c r="D150" t="s">
        <v>489</v>
      </c>
      <c r="E150">
        <v>10026</v>
      </c>
      <c r="F150" s="1">
        <v>41547</v>
      </c>
      <c r="G150" s="7">
        <v>50482</v>
      </c>
      <c r="H150" t="s">
        <v>498</v>
      </c>
      <c r="I150" s="1">
        <v>27778</v>
      </c>
      <c r="J150" t="s">
        <v>22</v>
      </c>
      <c r="K150" t="s">
        <v>23</v>
      </c>
      <c r="L150" t="s">
        <v>24</v>
      </c>
      <c r="M150" t="s">
        <v>21</v>
      </c>
      <c r="N150">
        <v>1887</v>
      </c>
      <c r="P150" t="s">
        <v>512</v>
      </c>
      <c r="Q150" t="s">
        <v>25</v>
      </c>
      <c r="R150" t="s">
        <v>35</v>
      </c>
      <c r="S150" t="s">
        <v>36</v>
      </c>
      <c r="T150">
        <v>3.07</v>
      </c>
      <c r="U150">
        <v>4</v>
      </c>
      <c r="V150" s="1">
        <v>43488</v>
      </c>
      <c r="W150">
        <v>10</v>
      </c>
      <c r="X150" t="str">
        <f>INDEX(Position!B:B,MATCH(Table1[[#This Row],[Position ID]],Position!A:A, 0 ))</f>
        <v>Production Technician I</v>
      </c>
      <c r="Y150" t="str">
        <f>INDEX(Department!B:B,MATCH(Table1[[#This Row],[Department ID]],Department!A:A,0))</f>
        <v>Production</v>
      </c>
      <c r="Z150" t="str">
        <f>INDEX(Manager!B:B,MATCH(Table1[[#This Row],[Manger ID]],Manager!A:A,0))</f>
        <v>Michael Albert</v>
      </c>
      <c r="AA150">
        <f ca="1">DATEDIF(Table1[[#This Row],[DOB]],TODAY(), "Y")</f>
        <v>48</v>
      </c>
      <c r="AB150" t="str">
        <f ca="1">IF(Table1[[#This Row],[ Age]]&lt;18,"Less than 18",IF(Table1[[#This Row],[ Age]]&lt;=29,"18-29",IF(Table1[[#This Row],[ Age]]&lt;=49,"30-49",IF(Table1[[#This Row],[ Age]]&lt;=59,"50-59","60 or more"))))</f>
        <v>30-49</v>
      </c>
      <c r="AC150" s="8">
        <f ca="1">IF(ISBLANK(Table1[[#This Row],[DateofTermination]]),DATEDIF(Table1[[#This Row],[DateofHire]],TODAY(), "M"),DATEDIF(Table1[[#This Row],[DateofHire]],Table1[[#This Row],[DateofTermination]],"M"))/12</f>
        <v>10.5</v>
      </c>
      <c r="AD150" t="str">
        <f>IF(Table1[[#This Row],[EmpSatisfaction]]=1,"Very Dissatisfied", IF(Table1[[#This Row],[EmpSatisfaction]] = 2, "Dissatisfied", IF(Table1[[#This Row],[EmpSatisfaction]]  = 3, "Neutral", IF(Table1[[#This Row],[EmpSatisfaction]] = 4, "Satisfied", IF(Table1[[#This Row],[EmpSatisfaction]]=5,"Very Satisfied", " ")))))</f>
        <v>Satisfied</v>
      </c>
      <c r="AE150">
        <f>YEAR(Table1[[#This Row],[DateofHire]])</f>
        <v>2013</v>
      </c>
      <c r="AF150" t="s">
        <v>25</v>
      </c>
    </row>
    <row r="151" spans="1:32" x14ac:dyDescent="0.3">
      <c r="A151" t="s">
        <v>259</v>
      </c>
      <c r="B151">
        <v>10231</v>
      </c>
      <c r="C151" t="s">
        <v>454</v>
      </c>
      <c r="D151" t="s">
        <v>490</v>
      </c>
      <c r="E151">
        <v>10200</v>
      </c>
      <c r="F151" s="1">
        <v>41505</v>
      </c>
      <c r="G151" s="7">
        <v>65310</v>
      </c>
      <c r="H151" t="s">
        <v>498</v>
      </c>
      <c r="I151" s="1">
        <v>29186</v>
      </c>
      <c r="J151" t="s">
        <v>22</v>
      </c>
      <c r="K151" t="s">
        <v>23</v>
      </c>
      <c r="L151" t="s">
        <v>24</v>
      </c>
      <c r="M151" t="s">
        <v>260</v>
      </c>
      <c r="N151">
        <v>80820</v>
      </c>
      <c r="P151" t="s">
        <v>512</v>
      </c>
      <c r="Q151" t="s">
        <v>25</v>
      </c>
      <c r="R151" t="s">
        <v>35</v>
      </c>
      <c r="S151" t="s">
        <v>36</v>
      </c>
      <c r="T151">
        <v>4.3</v>
      </c>
      <c r="U151">
        <v>5</v>
      </c>
      <c r="V151" s="1">
        <v>43487</v>
      </c>
      <c r="W151">
        <v>13</v>
      </c>
      <c r="X151" t="str">
        <f>INDEX(Position!B:B,MATCH(Table1[[#This Row],[Position ID]],Position!A:A, 0 ))</f>
        <v>Area Sales Manager</v>
      </c>
      <c r="Y151" t="str">
        <f>INDEX(Department!B:B,MATCH(Table1[[#This Row],[Department ID]],Department!A:A,0))</f>
        <v>Sales</v>
      </c>
      <c r="Z151" t="str">
        <f>INDEX(Manager!B:B,MATCH(Table1[[#This Row],[Manger ID]],Manager!A:A,0))</f>
        <v>Lynn Daneault</v>
      </c>
      <c r="AA151">
        <f ca="1">DATEDIF(Table1[[#This Row],[DOB]],TODAY(), "Y")</f>
        <v>44</v>
      </c>
      <c r="AB151" t="str">
        <f ca="1">IF(Table1[[#This Row],[ Age]]&lt;18,"Less than 18",IF(Table1[[#This Row],[ Age]]&lt;=29,"18-29",IF(Table1[[#This Row],[ Age]]&lt;=49,"30-49",IF(Table1[[#This Row],[ Age]]&lt;=59,"50-59","60 or more"))))</f>
        <v>30-49</v>
      </c>
      <c r="AC151" s="8">
        <f ca="1">IF(ISBLANK(Table1[[#This Row],[DateofTermination]]),DATEDIF(Table1[[#This Row],[DateofHire]],TODAY(), "M"),DATEDIF(Table1[[#This Row],[DateofHire]],Table1[[#This Row],[DateofTermination]],"M"))/12</f>
        <v>10.583333333333334</v>
      </c>
      <c r="AD151" t="str">
        <f>IF(Table1[[#This Row],[EmpSatisfaction]]=1,"Very Dissatisfied", IF(Table1[[#This Row],[EmpSatisfaction]] = 2, "Dissatisfied", IF(Table1[[#This Row],[EmpSatisfaction]]  = 3, "Neutral", IF(Table1[[#This Row],[EmpSatisfaction]] = 4, "Satisfied", IF(Table1[[#This Row],[EmpSatisfaction]]=5,"Very Satisfied", " ")))))</f>
        <v>Very Satisfied</v>
      </c>
      <c r="AE151">
        <f>YEAR(Table1[[#This Row],[DateofHire]])</f>
        <v>2013</v>
      </c>
      <c r="AF151" t="s">
        <v>25</v>
      </c>
    </row>
    <row r="152" spans="1:32" x14ac:dyDescent="0.3">
      <c r="A152" t="s">
        <v>261</v>
      </c>
      <c r="B152">
        <v>10089</v>
      </c>
      <c r="C152" t="s">
        <v>471</v>
      </c>
      <c r="D152" t="s">
        <v>487</v>
      </c>
      <c r="E152">
        <v>10080</v>
      </c>
      <c r="F152" s="1">
        <v>41092</v>
      </c>
      <c r="G152" s="7">
        <v>250000</v>
      </c>
      <c r="H152" t="s">
        <v>499</v>
      </c>
      <c r="I152" s="1">
        <v>19988</v>
      </c>
      <c r="J152" t="s">
        <v>31</v>
      </c>
      <c r="K152" t="s">
        <v>23</v>
      </c>
      <c r="L152" t="s">
        <v>24</v>
      </c>
      <c r="M152" t="s">
        <v>21</v>
      </c>
      <c r="N152">
        <v>1902</v>
      </c>
      <c r="P152" t="s">
        <v>512</v>
      </c>
      <c r="Q152" t="s">
        <v>25</v>
      </c>
      <c r="R152" t="s">
        <v>35</v>
      </c>
      <c r="S152" t="s">
        <v>36</v>
      </c>
      <c r="T152">
        <v>4.83</v>
      </c>
      <c r="U152">
        <v>3</v>
      </c>
      <c r="V152" s="1">
        <v>43482</v>
      </c>
      <c r="W152">
        <v>10</v>
      </c>
      <c r="X152" t="str">
        <f>INDEX(Position!B:B,MATCH(Table1[[#This Row],[Position ID]],Position!A:A, 0 ))</f>
        <v>President &amp; CEO</v>
      </c>
      <c r="Y152" t="str">
        <f>INDEX(Department!B:B,MATCH(Table1[[#This Row],[Department ID]],Department!A:A,0))</f>
        <v>Executive Office</v>
      </c>
      <c r="Z152" t="str">
        <f>INDEX(Manager!B:B,MATCH(Table1[[#This Row],[Manger ID]],Manager!A:A,0))</f>
        <v>Board of Directors</v>
      </c>
      <c r="AA152">
        <f ca="1">DATEDIF(Table1[[#This Row],[DOB]],TODAY(), "Y")</f>
        <v>69</v>
      </c>
      <c r="AB152" t="str">
        <f ca="1">IF(Table1[[#This Row],[ Age]]&lt;18,"Less than 18",IF(Table1[[#This Row],[ Age]]&lt;=29,"18-29",IF(Table1[[#This Row],[ Age]]&lt;=49,"30-49",IF(Table1[[#This Row],[ Age]]&lt;=59,"50-59","60 or more"))))</f>
        <v>60 or more</v>
      </c>
      <c r="AC152" s="8">
        <f ca="1">IF(ISBLANK(Table1[[#This Row],[DateofTermination]]),DATEDIF(Table1[[#This Row],[DateofHire]],TODAY(), "M"),DATEDIF(Table1[[#This Row],[DateofHire]],Table1[[#This Row],[DateofTermination]],"M"))/12</f>
        <v>11.75</v>
      </c>
      <c r="AD152" t="str">
        <f>IF(Table1[[#This Row],[EmpSatisfaction]]=1,"Very Dissatisfied", IF(Table1[[#This Row],[EmpSatisfaction]] = 2, "Dissatisfied", IF(Table1[[#This Row],[EmpSatisfaction]]  = 3, "Neutral", IF(Table1[[#This Row],[EmpSatisfaction]] = 4, "Satisfied", IF(Table1[[#This Row],[EmpSatisfaction]]=5,"Very Satisfied", " ")))))</f>
        <v>Neutral</v>
      </c>
      <c r="AE152">
        <f>YEAR(Table1[[#This Row],[DateofHire]])</f>
        <v>2012</v>
      </c>
      <c r="AF152" t="s">
        <v>25</v>
      </c>
    </row>
    <row r="153" spans="1:32" hidden="1" x14ac:dyDescent="0.3">
      <c r="A153" t="s">
        <v>264</v>
      </c>
      <c r="B153">
        <v>10166</v>
      </c>
      <c r="C153" t="s">
        <v>474</v>
      </c>
      <c r="D153" t="s">
        <v>489</v>
      </c>
      <c r="E153">
        <v>10069</v>
      </c>
      <c r="F153" s="1">
        <v>40812</v>
      </c>
      <c r="G153" s="7">
        <v>54005</v>
      </c>
      <c r="H153" t="s">
        <v>499</v>
      </c>
      <c r="I153" s="1">
        <v>27006</v>
      </c>
      <c r="J153" t="s">
        <v>31</v>
      </c>
      <c r="K153" t="s">
        <v>23</v>
      </c>
      <c r="L153" t="s">
        <v>24</v>
      </c>
      <c r="M153" t="s">
        <v>21</v>
      </c>
      <c r="N153">
        <v>2170</v>
      </c>
      <c r="O153" s="1">
        <v>42159</v>
      </c>
      <c r="P153" t="s">
        <v>523</v>
      </c>
      <c r="Q153" t="s">
        <v>32</v>
      </c>
      <c r="R153" t="s">
        <v>45</v>
      </c>
      <c r="S153" t="s">
        <v>36</v>
      </c>
      <c r="T153">
        <v>3.6</v>
      </c>
      <c r="U153">
        <v>5</v>
      </c>
      <c r="V153" s="1">
        <v>42064</v>
      </c>
      <c r="W153">
        <v>16</v>
      </c>
      <c r="X153" t="str">
        <f>INDEX(Position!B:B,MATCH(Table1[[#This Row],[Position ID]],Position!A:A, 0 ))</f>
        <v>Production Technician I</v>
      </c>
      <c r="Y153" t="str">
        <f>INDEX(Department!B:B,MATCH(Table1[[#This Row],[Department ID]],Department!A:A,0))</f>
        <v>Production</v>
      </c>
      <c r="Z153" t="str">
        <f>INDEX(Manager!B:B,MATCH(Table1[[#This Row],[Manger ID]],Manager!A:A,0))</f>
        <v>Webster Butler</v>
      </c>
      <c r="AA153">
        <f ca="1">DATEDIF(Table1[[#This Row],[DOB]],TODAY(), "Y")</f>
        <v>50</v>
      </c>
      <c r="AB153" t="str">
        <f ca="1">IF(Table1[[#This Row],[ Age]]&lt;18,"Less than 18",IF(Table1[[#This Row],[ Age]]&lt;=29,"18-29",IF(Table1[[#This Row],[ Age]]&lt;=49,"30-49",IF(Table1[[#This Row],[ Age]]&lt;=59,"50-59","60 or more"))))</f>
        <v>50-59</v>
      </c>
      <c r="AC153" s="8">
        <f ca="1">IF(ISBLANK(Table1[[#This Row],[DateofTermination]]),DATEDIF(Table1[[#This Row],[DateofHire]],TODAY(), "M"),DATEDIF(Table1[[#This Row],[DateofHire]],Table1[[#This Row],[DateofTermination]],"M"))/12</f>
        <v>3.6666666666666665</v>
      </c>
      <c r="AD153" t="str">
        <f>IF(Table1[[#This Row],[EmpSatisfaction]]=1,"Very Dissatisfied", IF(Table1[[#This Row],[EmpSatisfaction]] = 2, "Dissatisfied", IF(Table1[[#This Row],[EmpSatisfaction]]  = 3, "Neutral", IF(Table1[[#This Row],[EmpSatisfaction]] = 4, "Satisfied", IF(Table1[[#This Row],[EmpSatisfaction]]=5,"Very Satisfied", " ")))))</f>
        <v>Very Satisfied</v>
      </c>
      <c r="AE153">
        <f>YEAR(Table1[[#This Row],[DateofHire]])</f>
        <v>2011</v>
      </c>
      <c r="AF153" t="s">
        <v>535</v>
      </c>
    </row>
    <row r="154" spans="1:32" hidden="1" x14ac:dyDescent="0.3">
      <c r="A154" t="s">
        <v>265</v>
      </c>
      <c r="B154">
        <v>10170</v>
      </c>
      <c r="C154" t="s">
        <v>474</v>
      </c>
      <c r="D154" t="s">
        <v>489</v>
      </c>
      <c r="E154">
        <v>10002</v>
      </c>
      <c r="F154" s="1">
        <v>40812</v>
      </c>
      <c r="G154" s="7">
        <v>45433</v>
      </c>
      <c r="H154" t="s">
        <v>499</v>
      </c>
      <c r="I154" s="1">
        <v>25849</v>
      </c>
      <c r="J154" t="s">
        <v>31</v>
      </c>
      <c r="K154" t="s">
        <v>23</v>
      </c>
      <c r="L154" t="s">
        <v>24</v>
      </c>
      <c r="M154" t="s">
        <v>21</v>
      </c>
      <c r="N154">
        <v>2127</v>
      </c>
      <c r="O154" s="1">
        <v>41648</v>
      </c>
      <c r="P154" t="s">
        <v>523</v>
      </c>
      <c r="Q154" t="s">
        <v>32</v>
      </c>
      <c r="R154" t="s">
        <v>45</v>
      </c>
      <c r="S154" t="s">
        <v>36</v>
      </c>
      <c r="T154">
        <v>3.49</v>
      </c>
      <c r="U154">
        <v>4</v>
      </c>
      <c r="V154" s="1">
        <v>41304</v>
      </c>
      <c r="W154">
        <v>6</v>
      </c>
      <c r="X154" t="str">
        <f>INDEX(Position!B:B,MATCH(Table1[[#This Row],[Position ID]],Position!A:A, 0 ))</f>
        <v>Production Technician I</v>
      </c>
      <c r="Y154" t="str">
        <f>INDEX(Department!B:B,MATCH(Table1[[#This Row],[Department ID]],Department!A:A,0))</f>
        <v>Production</v>
      </c>
      <c r="Z154" t="str">
        <f>INDEX(Manager!B:B,MATCH(Table1[[#This Row],[Manger ID]],Manager!A:A,0))</f>
        <v>Amy Dunn</v>
      </c>
      <c r="AA154">
        <f ca="1">DATEDIF(Table1[[#This Row],[DOB]],TODAY(), "Y")</f>
        <v>53</v>
      </c>
      <c r="AB154" t="str">
        <f ca="1">IF(Table1[[#This Row],[ Age]]&lt;18,"Less than 18",IF(Table1[[#This Row],[ Age]]&lt;=29,"18-29",IF(Table1[[#This Row],[ Age]]&lt;=49,"30-49",IF(Table1[[#This Row],[ Age]]&lt;=59,"50-59","60 or more"))))</f>
        <v>50-59</v>
      </c>
      <c r="AC154" s="8">
        <f ca="1">IF(ISBLANK(Table1[[#This Row],[DateofTermination]]),DATEDIF(Table1[[#This Row],[DateofHire]],TODAY(), "M"),DATEDIF(Table1[[#This Row],[DateofHire]],Table1[[#This Row],[DateofTermination]],"M"))/12</f>
        <v>2.25</v>
      </c>
      <c r="AD154" t="str">
        <f>IF(Table1[[#This Row],[EmpSatisfaction]]=1,"Very Dissatisfied", IF(Table1[[#This Row],[EmpSatisfaction]] = 2, "Dissatisfied", IF(Table1[[#This Row],[EmpSatisfaction]]  = 3, "Neutral", IF(Table1[[#This Row],[EmpSatisfaction]] = 4, "Satisfied", IF(Table1[[#This Row],[EmpSatisfaction]]=5,"Very Satisfied", " ")))))</f>
        <v>Satisfied</v>
      </c>
      <c r="AE154">
        <f>YEAR(Table1[[#This Row],[DateofHire]])</f>
        <v>2011</v>
      </c>
      <c r="AF154" t="s">
        <v>535</v>
      </c>
    </row>
    <row r="155" spans="1:32" x14ac:dyDescent="0.3">
      <c r="A155" t="s">
        <v>266</v>
      </c>
      <c r="B155">
        <v>10208</v>
      </c>
      <c r="C155" t="s">
        <v>474</v>
      </c>
      <c r="D155" t="s">
        <v>489</v>
      </c>
      <c r="E155">
        <v>10062</v>
      </c>
      <c r="F155" s="1">
        <v>41687</v>
      </c>
      <c r="G155" s="7">
        <v>46654</v>
      </c>
      <c r="H155" t="s">
        <v>498</v>
      </c>
      <c r="I155" s="1">
        <v>28439</v>
      </c>
      <c r="J155" t="s">
        <v>22</v>
      </c>
      <c r="K155" t="s">
        <v>23</v>
      </c>
      <c r="L155" t="s">
        <v>57</v>
      </c>
      <c r="M155" t="s">
        <v>21</v>
      </c>
      <c r="N155">
        <v>1721</v>
      </c>
      <c r="P155" t="s">
        <v>512</v>
      </c>
      <c r="Q155" t="s">
        <v>25</v>
      </c>
      <c r="R155" t="s">
        <v>27</v>
      </c>
      <c r="S155" t="s">
        <v>36</v>
      </c>
      <c r="T155">
        <v>3.1</v>
      </c>
      <c r="U155">
        <v>3</v>
      </c>
      <c r="V155" s="1">
        <v>43502</v>
      </c>
      <c r="W155">
        <v>3</v>
      </c>
      <c r="X155" t="str">
        <f>INDEX(Position!B:B,MATCH(Table1[[#This Row],[Position ID]],Position!A:A, 0 ))</f>
        <v>Production Technician I</v>
      </c>
      <c r="Y155" t="str">
        <f>INDEX(Department!B:B,MATCH(Table1[[#This Row],[Department ID]],Department!A:A,0))</f>
        <v>Production</v>
      </c>
      <c r="Z155" t="str">
        <f>INDEX(Manager!B:B,MATCH(Table1[[#This Row],[Manger ID]],Manager!A:A,0))</f>
        <v>Ketsia Liebig</v>
      </c>
      <c r="AA155">
        <f ca="1">DATEDIF(Table1[[#This Row],[DOB]],TODAY(), "Y")</f>
        <v>46</v>
      </c>
      <c r="AB155" t="str">
        <f ca="1">IF(Table1[[#This Row],[ Age]]&lt;18,"Less than 18",IF(Table1[[#This Row],[ Age]]&lt;=29,"18-29",IF(Table1[[#This Row],[ Age]]&lt;=49,"30-49",IF(Table1[[#This Row],[ Age]]&lt;=59,"50-59","60 or more"))))</f>
        <v>30-49</v>
      </c>
      <c r="AC155" s="8">
        <f ca="1">IF(ISBLANK(Table1[[#This Row],[DateofTermination]]),DATEDIF(Table1[[#This Row],[DateofHire]],TODAY(), "M"),DATEDIF(Table1[[#This Row],[DateofHire]],Table1[[#This Row],[DateofTermination]],"M"))/12</f>
        <v>10.083333333333334</v>
      </c>
      <c r="AD155" t="str">
        <f>IF(Table1[[#This Row],[EmpSatisfaction]]=1,"Very Dissatisfied", IF(Table1[[#This Row],[EmpSatisfaction]] = 2, "Dissatisfied", IF(Table1[[#This Row],[EmpSatisfaction]]  = 3, "Neutral", IF(Table1[[#This Row],[EmpSatisfaction]] = 4, "Satisfied", IF(Table1[[#This Row],[EmpSatisfaction]]=5,"Very Satisfied", " ")))))</f>
        <v>Neutral</v>
      </c>
      <c r="AE155">
        <f>YEAR(Table1[[#This Row],[DateofHire]])</f>
        <v>2014</v>
      </c>
      <c r="AF155" t="s">
        <v>25</v>
      </c>
    </row>
    <row r="156" spans="1:32" x14ac:dyDescent="0.3">
      <c r="A156" t="s">
        <v>267</v>
      </c>
      <c r="B156">
        <v>10176</v>
      </c>
      <c r="C156" t="s">
        <v>474</v>
      </c>
      <c r="D156" t="s">
        <v>489</v>
      </c>
      <c r="E156">
        <v>10114</v>
      </c>
      <c r="F156" s="1">
        <v>40553</v>
      </c>
      <c r="G156" s="7">
        <v>63973</v>
      </c>
      <c r="H156" t="s">
        <v>498</v>
      </c>
      <c r="I156" s="1">
        <v>29253</v>
      </c>
      <c r="J156" t="s">
        <v>31</v>
      </c>
      <c r="K156" t="s">
        <v>23</v>
      </c>
      <c r="L156" t="s">
        <v>82</v>
      </c>
      <c r="M156" t="s">
        <v>21</v>
      </c>
      <c r="N156">
        <v>1801</v>
      </c>
      <c r="P156" t="s">
        <v>512</v>
      </c>
      <c r="Q156" t="s">
        <v>25</v>
      </c>
      <c r="R156" t="s">
        <v>35</v>
      </c>
      <c r="S156" t="s">
        <v>36</v>
      </c>
      <c r="T156">
        <v>3.38</v>
      </c>
      <c r="U156">
        <v>3</v>
      </c>
      <c r="V156" s="1">
        <v>43486</v>
      </c>
      <c r="W156">
        <v>17</v>
      </c>
      <c r="X156" t="str">
        <f>INDEX(Position!B:B,MATCH(Table1[[#This Row],[Position ID]],Position!A:A, 0 ))</f>
        <v>Production Technician I</v>
      </c>
      <c r="Y156" t="str">
        <f>INDEX(Department!B:B,MATCH(Table1[[#This Row],[Department ID]],Department!A:A,0))</f>
        <v>Production</v>
      </c>
      <c r="Z156" t="str">
        <f>INDEX(Manager!B:B,MATCH(Table1[[#This Row],[Manger ID]],Manager!A:A,0))</f>
        <v>Brannon Miller</v>
      </c>
      <c r="AA156">
        <f ca="1">DATEDIF(Table1[[#This Row],[DOB]],TODAY(), "Y")</f>
        <v>44</v>
      </c>
      <c r="AB156" t="str">
        <f ca="1">IF(Table1[[#This Row],[ Age]]&lt;18,"Less than 18",IF(Table1[[#This Row],[ Age]]&lt;=29,"18-29",IF(Table1[[#This Row],[ Age]]&lt;=49,"30-49",IF(Table1[[#This Row],[ Age]]&lt;=59,"50-59","60 or more"))))</f>
        <v>30-49</v>
      </c>
      <c r="AC156" s="8">
        <f ca="1">IF(ISBLANK(Table1[[#This Row],[DateofTermination]]),DATEDIF(Table1[[#This Row],[DateofHire]],TODAY(), "M"),DATEDIF(Table1[[#This Row],[DateofHire]],Table1[[#This Row],[DateofTermination]],"M"))/12</f>
        <v>13.166666666666666</v>
      </c>
      <c r="AD156" t="str">
        <f>IF(Table1[[#This Row],[EmpSatisfaction]]=1,"Very Dissatisfied", IF(Table1[[#This Row],[EmpSatisfaction]] = 2, "Dissatisfied", IF(Table1[[#This Row],[EmpSatisfaction]]  = 3, "Neutral", IF(Table1[[#This Row],[EmpSatisfaction]] = 4, "Satisfied", IF(Table1[[#This Row],[EmpSatisfaction]]=5,"Very Satisfied", " ")))))</f>
        <v>Neutral</v>
      </c>
      <c r="AE156">
        <f>YEAR(Table1[[#This Row],[DateofHire]])</f>
        <v>2011</v>
      </c>
      <c r="AF156" t="s">
        <v>25</v>
      </c>
    </row>
    <row r="157" spans="1:32" x14ac:dyDescent="0.3">
      <c r="A157" t="s">
        <v>268</v>
      </c>
      <c r="B157">
        <v>10165</v>
      </c>
      <c r="C157" t="s">
        <v>454</v>
      </c>
      <c r="D157" t="s">
        <v>490</v>
      </c>
      <c r="E157">
        <v>10188</v>
      </c>
      <c r="F157" s="1">
        <v>40609</v>
      </c>
      <c r="G157" s="7">
        <v>71339</v>
      </c>
      <c r="H157" t="s">
        <v>498</v>
      </c>
      <c r="I157" s="1">
        <v>25258</v>
      </c>
      <c r="J157" t="s">
        <v>22</v>
      </c>
      <c r="K157" t="s">
        <v>23</v>
      </c>
      <c r="L157" t="s">
        <v>57</v>
      </c>
      <c r="M157" t="s">
        <v>269</v>
      </c>
      <c r="N157">
        <v>10171</v>
      </c>
      <c r="P157" t="s">
        <v>512</v>
      </c>
      <c r="Q157" t="s">
        <v>25</v>
      </c>
      <c r="R157" t="s">
        <v>59</v>
      </c>
      <c r="S157" t="s">
        <v>36</v>
      </c>
      <c r="T157">
        <v>3.65</v>
      </c>
      <c r="U157">
        <v>5</v>
      </c>
      <c r="V157" s="1">
        <v>43482</v>
      </c>
      <c r="W157">
        <v>20</v>
      </c>
      <c r="X157" t="str">
        <f>INDEX(Position!B:B,MATCH(Table1[[#This Row],[Position ID]],Position!A:A, 0 ))</f>
        <v>Area Sales Manager</v>
      </c>
      <c r="Y157" t="str">
        <f>INDEX(Department!B:B,MATCH(Table1[[#This Row],[Department ID]],Department!A:A,0))</f>
        <v>Sales</v>
      </c>
      <c r="Z157" t="str">
        <f>INDEX(Manager!B:B,MATCH(Table1[[#This Row],[Manger ID]],Manager!A:A,0))</f>
        <v>John Smith</v>
      </c>
      <c r="AA157">
        <f ca="1">DATEDIF(Table1[[#This Row],[DOB]],TODAY(), "Y")</f>
        <v>55</v>
      </c>
      <c r="AB157" t="str">
        <f ca="1">IF(Table1[[#This Row],[ Age]]&lt;18,"Less than 18",IF(Table1[[#This Row],[ Age]]&lt;=29,"18-29",IF(Table1[[#This Row],[ Age]]&lt;=49,"30-49",IF(Table1[[#This Row],[ Age]]&lt;=59,"50-59","60 or more"))))</f>
        <v>50-59</v>
      </c>
      <c r="AC157" s="8">
        <f ca="1">IF(ISBLANK(Table1[[#This Row],[DateofTermination]]),DATEDIF(Table1[[#This Row],[DateofHire]],TODAY(), "M"),DATEDIF(Table1[[#This Row],[DateofHire]],Table1[[#This Row],[DateofTermination]],"M"))/12</f>
        <v>13.083333333333334</v>
      </c>
      <c r="AD157" t="str">
        <f>IF(Table1[[#This Row],[EmpSatisfaction]]=1,"Very Dissatisfied", IF(Table1[[#This Row],[EmpSatisfaction]] = 2, "Dissatisfied", IF(Table1[[#This Row],[EmpSatisfaction]]  = 3, "Neutral", IF(Table1[[#This Row],[EmpSatisfaction]] = 4, "Satisfied", IF(Table1[[#This Row],[EmpSatisfaction]]=5,"Very Satisfied", " ")))))</f>
        <v>Very Satisfied</v>
      </c>
      <c r="AE157">
        <f>YEAR(Table1[[#This Row],[DateofHire]])</f>
        <v>2011</v>
      </c>
      <c r="AF157" t="s">
        <v>25</v>
      </c>
    </row>
    <row r="158" spans="1:32" x14ac:dyDescent="0.3">
      <c r="A158" t="s">
        <v>270</v>
      </c>
      <c r="B158">
        <v>10113</v>
      </c>
      <c r="C158" t="s">
        <v>483</v>
      </c>
      <c r="D158" t="s">
        <v>488</v>
      </c>
      <c r="E158">
        <v>10250</v>
      </c>
      <c r="F158" s="1">
        <v>41953</v>
      </c>
      <c r="G158" s="7">
        <v>93206</v>
      </c>
      <c r="H158" t="s">
        <v>498</v>
      </c>
      <c r="I158" s="1">
        <v>31525</v>
      </c>
      <c r="J158" t="s">
        <v>31</v>
      </c>
      <c r="K158" t="s">
        <v>23</v>
      </c>
      <c r="L158" t="s">
        <v>24</v>
      </c>
      <c r="M158" t="s">
        <v>21</v>
      </c>
      <c r="N158">
        <v>2169</v>
      </c>
      <c r="P158" t="s">
        <v>512</v>
      </c>
      <c r="Q158" t="s">
        <v>25</v>
      </c>
      <c r="R158" t="s">
        <v>55</v>
      </c>
      <c r="S158" t="s">
        <v>36</v>
      </c>
      <c r="T158">
        <v>4.46</v>
      </c>
      <c r="U158">
        <v>5</v>
      </c>
      <c r="V158" s="1">
        <v>43472</v>
      </c>
      <c r="W158">
        <v>7</v>
      </c>
      <c r="X158" t="str">
        <f>INDEX(Position!B:B,MATCH(Table1[[#This Row],[Position ID]],Position!A:A, 0 ))</f>
        <v>Sr. Network Engineer</v>
      </c>
      <c r="Y158" t="str">
        <f>INDEX(Department!B:B,MATCH(Table1[[#This Row],[Department ID]],Department!A:A,0))</f>
        <v>IT/IS</v>
      </c>
      <c r="Z158" t="str">
        <f>INDEX(Manager!B:B,MATCH(Table1[[#This Row],[Manger ID]],Manager!A:A,0))</f>
        <v>Peter Monroe</v>
      </c>
      <c r="AA158">
        <f ca="1">DATEDIF(Table1[[#This Row],[DOB]],TODAY(), "Y")</f>
        <v>37</v>
      </c>
      <c r="AB158" t="str">
        <f ca="1">IF(Table1[[#This Row],[ Age]]&lt;18,"Less than 18",IF(Table1[[#This Row],[ Age]]&lt;=29,"18-29",IF(Table1[[#This Row],[ Age]]&lt;=49,"30-49",IF(Table1[[#This Row],[ Age]]&lt;=59,"50-59","60 or more"))))</f>
        <v>30-49</v>
      </c>
      <c r="AC158" s="8">
        <f ca="1">IF(ISBLANK(Table1[[#This Row],[DateofTermination]]),DATEDIF(Table1[[#This Row],[DateofHire]],TODAY(), "M"),DATEDIF(Table1[[#This Row],[DateofHire]],Table1[[#This Row],[DateofTermination]],"M"))/12</f>
        <v>9.3333333333333339</v>
      </c>
      <c r="AD158" t="str">
        <f>IF(Table1[[#This Row],[EmpSatisfaction]]=1,"Very Dissatisfied", IF(Table1[[#This Row],[EmpSatisfaction]] = 2, "Dissatisfied", IF(Table1[[#This Row],[EmpSatisfaction]]  = 3, "Neutral", IF(Table1[[#This Row],[EmpSatisfaction]] = 4, "Satisfied", IF(Table1[[#This Row],[EmpSatisfaction]]=5,"Very Satisfied", " ")))))</f>
        <v>Very Satisfied</v>
      </c>
      <c r="AE158">
        <f>YEAR(Table1[[#This Row],[DateofHire]])</f>
        <v>2014</v>
      </c>
      <c r="AF158" t="s">
        <v>25</v>
      </c>
    </row>
    <row r="159" spans="1:32" hidden="1" x14ac:dyDescent="0.3">
      <c r="A159" t="s">
        <v>271</v>
      </c>
      <c r="B159">
        <v>10092</v>
      </c>
      <c r="C159" t="s">
        <v>473</v>
      </c>
      <c r="D159" t="s">
        <v>489</v>
      </c>
      <c r="E159">
        <v>10175</v>
      </c>
      <c r="F159" s="1">
        <v>40553</v>
      </c>
      <c r="G159" s="7">
        <v>82758</v>
      </c>
      <c r="H159" t="s">
        <v>498</v>
      </c>
      <c r="I159" s="1">
        <v>26481</v>
      </c>
      <c r="J159" t="s">
        <v>31</v>
      </c>
      <c r="K159" t="s">
        <v>23</v>
      </c>
      <c r="L159" t="s">
        <v>24</v>
      </c>
      <c r="M159" t="s">
        <v>21</v>
      </c>
      <c r="N159">
        <v>1890</v>
      </c>
      <c r="O159" s="1">
        <v>42350</v>
      </c>
      <c r="P159" t="s">
        <v>518</v>
      </c>
      <c r="Q159" t="s">
        <v>75</v>
      </c>
      <c r="R159" t="s">
        <v>55</v>
      </c>
      <c r="S159" t="s">
        <v>36</v>
      </c>
      <c r="T159">
        <v>4.78</v>
      </c>
      <c r="U159">
        <v>4</v>
      </c>
      <c r="V159" s="1">
        <v>42050</v>
      </c>
      <c r="W159">
        <v>9</v>
      </c>
      <c r="X159" t="str">
        <f>INDEX(Position!B:B,MATCH(Table1[[#This Row],[Position ID]],Position!A:A, 0 ))</f>
        <v>Production Manager</v>
      </c>
      <c r="Y159" t="str">
        <f>INDEX(Department!B:B,MATCH(Table1[[#This Row],[Department ID]],Department!A:A,0))</f>
        <v>Production</v>
      </c>
      <c r="Z159" t="str">
        <f>INDEX(Manager!B:B,MATCH(Table1[[#This Row],[Manger ID]],Manager!A:A,0))</f>
        <v>Janet King</v>
      </c>
      <c r="AA159">
        <f ca="1">DATEDIF(Table1[[#This Row],[DOB]],TODAY(), "Y")</f>
        <v>51</v>
      </c>
      <c r="AB159" t="str">
        <f ca="1">IF(Table1[[#This Row],[ Age]]&lt;18,"Less than 18",IF(Table1[[#This Row],[ Age]]&lt;=29,"18-29",IF(Table1[[#This Row],[ Age]]&lt;=49,"30-49",IF(Table1[[#This Row],[ Age]]&lt;=59,"50-59","60 or more"))))</f>
        <v>50-59</v>
      </c>
      <c r="AC159" s="8">
        <f ca="1">IF(ISBLANK(Table1[[#This Row],[DateofTermination]]),DATEDIF(Table1[[#This Row],[DateofHire]],TODAY(), "M"),DATEDIF(Table1[[#This Row],[DateofHire]],Table1[[#This Row],[DateofTermination]],"M"))/12</f>
        <v>4.916666666666667</v>
      </c>
      <c r="AD159" t="str">
        <f>IF(Table1[[#This Row],[EmpSatisfaction]]=1,"Very Dissatisfied", IF(Table1[[#This Row],[EmpSatisfaction]] = 2, "Dissatisfied", IF(Table1[[#This Row],[EmpSatisfaction]]  = 3, "Neutral", IF(Table1[[#This Row],[EmpSatisfaction]] = 4, "Satisfied", IF(Table1[[#This Row],[EmpSatisfaction]]=5,"Very Satisfied", " ")))))</f>
        <v>Satisfied</v>
      </c>
      <c r="AE159">
        <f>YEAR(Table1[[#This Row],[DateofHire]])</f>
        <v>2011</v>
      </c>
      <c r="AF159" t="s">
        <v>535</v>
      </c>
    </row>
    <row r="160" spans="1:32" hidden="1" x14ac:dyDescent="0.3">
      <c r="A160" t="s">
        <v>272</v>
      </c>
      <c r="B160">
        <v>10106</v>
      </c>
      <c r="C160" t="s">
        <v>475</v>
      </c>
      <c r="D160" t="s">
        <v>489</v>
      </c>
      <c r="E160">
        <v>10252</v>
      </c>
      <c r="F160" s="1">
        <v>41281</v>
      </c>
      <c r="G160" s="7">
        <v>66074</v>
      </c>
      <c r="H160" t="s">
        <v>499</v>
      </c>
      <c r="I160" s="1">
        <v>29061</v>
      </c>
      <c r="J160" t="s">
        <v>43</v>
      </c>
      <c r="K160" t="s">
        <v>23</v>
      </c>
      <c r="L160" t="s">
        <v>82</v>
      </c>
      <c r="M160" t="s">
        <v>21</v>
      </c>
      <c r="N160">
        <v>2090</v>
      </c>
      <c r="O160" s="1">
        <v>41729</v>
      </c>
      <c r="P160" t="s">
        <v>516</v>
      </c>
      <c r="Q160" t="s">
        <v>32</v>
      </c>
      <c r="R160" t="s">
        <v>35</v>
      </c>
      <c r="S160" t="s">
        <v>36</v>
      </c>
      <c r="T160">
        <v>4.5199999999999996</v>
      </c>
      <c r="U160">
        <v>3</v>
      </c>
      <c r="V160" s="1">
        <v>41690</v>
      </c>
      <c r="W160">
        <v>20</v>
      </c>
      <c r="X160" t="str">
        <f>INDEX(Position!B:B,MATCH(Table1[[#This Row],[Position ID]],Position!A:A, 0 ))</f>
        <v>Production Technician II</v>
      </c>
      <c r="Y160" t="str">
        <f>INDEX(Department!B:B,MATCH(Table1[[#This Row],[Department ID]],Department!A:A,0))</f>
        <v>Production</v>
      </c>
      <c r="Z160" t="str">
        <f>INDEX(Manager!B:B,MATCH(Table1[[#This Row],[Manger ID]],Manager!A:A,0))</f>
        <v>David Stanley</v>
      </c>
      <c r="AA160">
        <f ca="1">DATEDIF(Table1[[#This Row],[DOB]],TODAY(), "Y")</f>
        <v>44</v>
      </c>
      <c r="AB160" t="str">
        <f ca="1">IF(Table1[[#This Row],[ Age]]&lt;18,"Less than 18",IF(Table1[[#This Row],[ Age]]&lt;=29,"18-29",IF(Table1[[#This Row],[ Age]]&lt;=49,"30-49",IF(Table1[[#This Row],[ Age]]&lt;=59,"50-59","60 or more"))))</f>
        <v>30-49</v>
      </c>
      <c r="AC160" s="8">
        <f ca="1">IF(ISBLANK(Table1[[#This Row],[DateofTermination]]),DATEDIF(Table1[[#This Row],[DateofHire]],TODAY(), "M"),DATEDIF(Table1[[#This Row],[DateofHire]],Table1[[#This Row],[DateofTermination]],"M"))/12</f>
        <v>1.1666666666666667</v>
      </c>
      <c r="AD160" t="str">
        <f>IF(Table1[[#This Row],[EmpSatisfaction]]=1,"Very Dissatisfied", IF(Table1[[#This Row],[EmpSatisfaction]] = 2, "Dissatisfied", IF(Table1[[#This Row],[EmpSatisfaction]]  = 3, "Neutral", IF(Table1[[#This Row],[EmpSatisfaction]] = 4, "Satisfied", IF(Table1[[#This Row],[EmpSatisfaction]]=5,"Very Satisfied", " ")))))</f>
        <v>Neutral</v>
      </c>
      <c r="AE160">
        <f>YEAR(Table1[[#This Row],[DateofHire]])</f>
        <v>2013</v>
      </c>
      <c r="AF160" t="s">
        <v>535</v>
      </c>
    </row>
    <row r="161" spans="1:32" x14ac:dyDescent="0.3">
      <c r="A161" t="s">
        <v>273</v>
      </c>
      <c r="B161">
        <v>10052</v>
      </c>
      <c r="C161" t="s">
        <v>474</v>
      </c>
      <c r="D161" t="s">
        <v>489</v>
      </c>
      <c r="E161">
        <v>10252</v>
      </c>
      <c r="F161" s="1">
        <v>41099</v>
      </c>
      <c r="G161" s="7">
        <v>46120</v>
      </c>
      <c r="H161" t="s">
        <v>498</v>
      </c>
      <c r="I161" s="1">
        <v>31755</v>
      </c>
      <c r="J161" t="s">
        <v>31</v>
      </c>
      <c r="K161" t="s">
        <v>23</v>
      </c>
      <c r="L161" t="s">
        <v>24</v>
      </c>
      <c r="M161" t="s">
        <v>21</v>
      </c>
      <c r="N161">
        <v>2048</v>
      </c>
      <c r="P161" t="s">
        <v>512</v>
      </c>
      <c r="Q161" t="s">
        <v>25</v>
      </c>
      <c r="R161" t="s">
        <v>27</v>
      </c>
      <c r="S161" t="s">
        <v>36</v>
      </c>
      <c r="T161">
        <v>5</v>
      </c>
      <c r="U161">
        <v>5</v>
      </c>
      <c r="V161" s="1">
        <v>43500</v>
      </c>
      <c r="W161">
        <v>13</v>
      </c>
      <c r="X161" t="str">
        <f>INDEX(Position!B:B,MATCH(Table1[[#This Row],[Position ID]],Position!A:A, 0 ))</f>
        <v>Production Technician I</v>
      </c>
      <c r="Y161" t="str">
        <f>INDEX(Department!B:B,MATCH(Table1[[#This Row],[Department ID]],Department!A:A,0))</f>
        <v>Production</v>
      </c>
      <c r="Z161" t="str">
        <f>INDEX(Manager!B:B,MATCH(Table1[[#This Row],[Manger ID]],Manager!A:A,0))</f>
        <v>David Stanley</v>
      </c>
      <c r="AA161">
        <f ca="1">DATEDIF(Table1[[#This Row],[DOB]],TODAY(), "Y")</f>
        <v>37</v>
      </c>
      <c r="AB161" t="str">
        <f ca="1">IF(Table1[[#This Row],[ Age]]&lt;18,"Less than 18",IF(Table1[[#This Row],[ Age]]&lt;=29,"18-29",IF(Table1[[#This Row],[ Age]]&lt;=49,"30-49",IF(Table1[[#This Row],[ Age]]&lt;=59,"50-59","60 or more"))))</f>
        <v>30-49</v>
      </c>
      <c r="AC161" s="8">
        <f ca="1">IF(ISBLANK(Table1[[#This Row],[DateofTermination]]),DATEDIF(Table1[[#This Row],[DateofHire]],TODAY(), "M"),DATEDIF(Table1[[#This Row],[DateofHire]],Table1[[#This Row],[DateofTermination]],"M"))/12</f>
        <v>11.75</v>
      </c>
      <c r="AD161" t="str">
        <f>IF(Table1[[#This Row],[EmpSatisfaction]]=1,"Very Dissatisfied", IF(Table1[[#This Row],[EmpSatisfaction]] = 2, "Dissatisfied", IF(Table1[[#This Row],[EmpSatisfaction]]  = 3, "Neutral", IF(Table1[[#This Row],[EmpSatisfaction]] = 4, "Satisfied", IF(Table1[[#This Row],[EmpSatisfaction]]=5,"Very Satisfied", " ")))))</f>
        <v>Very Satisfied</v>
      </c>
      <c r="AE161">
        <f>YEAR(Table1[[#This Row],[DateofHire]])</f>
        <v>2012</v>
      </c>
      <c r="AF161" t="s">
        <v>25</v>
      </c>
    </row>
    <row r="162" spans="1:32" x14ac:dyDescent="0.3">
      <c r="A162" t="s">
        <v>274</v>
      </c>
      <c r="B162">
        <v>10038</v>
      </c>
      <c r="C162" t="s">
        <v>452</v>
      </c>
      <c r="D162" t="s">
        <v>486</v>
      </c>
      <c r="E162">
        <v>10081</v>
      </c>
      <c r="F162" s="1">
        <v>41645</v>
      </c>
      <c r="G162" s="7">
        <v>64520</v>
      </c>
      <c r="H162" t="s">
        <v>498</v>
      </c>
      <c r="I162" s="1">
        <v>30798</v>
      </c>
      <c r="J162" t="s">
        <v>43</v>
      </c>
      <c r="K162" t="s">
        <v>23</v>
      </c>
      <c r="L162" t="s">
        <v>57</v>
      </c>
      <c r="M162" t="s">
        <v>21</v>
      </c>
      <c r="N162">
        <v>1460</v>
      </c>
      <c r="P162" t="s">
        <v>512</v>
      </c>
      <c r="Q162" t="s">
        <v>25</v>
      </c>
      <c r="R162" t="s">
        <v>167</v>
      </c>
      <c r="S162" t="s">
        <v>36</v>
      </c>
      <c r="T162">
        <v>5</v>
      </c>
      <c r="U162">
        <v>4</v>
      </c>
      <c r="V162" s="1">
        <v>43482</v>
      </c>
      <c r="W162">
        <v>3</v>
      </c>
      <c r="X162" t="str">
        <f>INDEX(Position!B:B,MATCH(Table1[[#This Row],[Position ID]],Position!A:A, 0 ))</f>
        <v>Accountant I</v>
      </c>
      <c r="Y162" t="str">
        <f>INDEX(Department!B:B,MATCH(Table1[[#This Row],[Department ID]],Department!A:A,0))</f>
        <v>Admin Offices</v>
      </c>
      <c r="Z162" t="str">
        <f>INDEX(Manager!B:B,MATCH(Table1[[#This Row],[Manger ID]],Manager!A:A,0))</f>
        <v>Brandon R. LeBlanc</v>
      </c>
      <c r="AA162">
        <f ca="1">DATEDIF(Table1[[#This Row],[DOB]],TODAY(), "Y")</f>
        <v>39</v>
      </c>
      <c r="AB162" t="str">
        <f ca="1">IF(Table1[[#This Row],[ Age]]&lt;18,"Less than 18",IF(Table1[[#This Row],[ Age]]&lt;=29,"18-29",IF(Table1[[#This Row],[ Age]]&lt;=49,"30-49",IF(Table1[[#This Row],[ Age]]&lt;=59,"50-59","60 or more"))))</f>
        <v>30-49</v>
      </c>
      <c r="AC162" s="8">
        <f ca="1">IF(ISBLANK(Table1[[#This Row],[DateofTermination]]),DATEDIF(Table1[[#This Row],[DateofHire]],TODAY(), "M"),DATEDIF(Table1[[#This Row],[DateofHire]],Table1[[#This Row],[DateofTermination]],"M"))/12</f>
        <v>10.25</v>
      </c>
      <c r="AD162" t="str">
        <f>IF(Table1[[#This Row],[EmpSatisfaction]]=1,"Very Dissatisfied", IF(Table1[[#This Row],[EmpSatisfaction]] = 2, "Dissatisfied", IF(Table1[[#This Row],[EmpSatisfaction]]  = 3, "Neutral", IF(Table1[[#This Row],[EmpSatisfaction]] = 4, "Satisfied", IF(Table1[[#This Row],[EmpSatisfaction]]=5,"Very Satisfied", " ")))))</f>
        <v>Satisfied</v>
      </c>
      <c r="AE162">
        <f>YEAR(Table1[[#This Row],[DateofHire]])</f>
        <v>2014</v>
      </c>
      <c r="AF162" t="s">
        <v>25</v>
      </c>
    </row>
    <row r="163" spans="1:32" hidden="1" x14ac:dyDescent="0.3">
      <c r="A163" t="s">
        <v>275</v>
      </c>
      <c r="B163">
        <v>10249</v>
      </c>
      <c r="C163" t="s">
        <v>475</v>
      </c>
      <c r="D163" t="s">
        <v>489</v>
      </c>
      <c r="E163">
        <v>10196</v>
      </c>
      <c r="F163" s="1">
        <v>41001</v>
      </c>
      <c r="G163" s="7">
        <v>61962</v>
      </c>
      <c r="H163" t="s">
        <v>498</v>
      </c>
      <c r="I163" s="1">
        <v>30811</v>
      </c>
      <c r="J163" t="s">
        <v>31</v>
      </c>
      <c r="K163" t="s">
        <v>23</v>
      </c>
      <c r="L163" t="s">
        <v>24</v>
      </c>
      <c r="M163" t="s">
        <v>21</v>
      </c>
      <c r="N163">
        <v>2126</v>
      </c>
      <c r="O163" s="1">
        <v>41379</v>
      </c>
      <c r="P163" t="s">
        <v>523</v>
      </c>
      <c r="Q163" t="s">
        <v>32</v>
      </c>
      <c r="R163" t="s">
        <v>45</v>
      </c>
      <c r="S163" t="s">
        <v>36</v>
      </c>
      <c r="T163">
        <v>4.9000000000000004</v>
      </c>
      <c r="U163">
        <v>3</v>
      </c>
      <c r="V163" s="1">
        <v>41325</v>
      </c>
      <c r="W163">
        <v>20</v>
      </c>
      <c r="X163" t="str">
        <f>INDEX(Position!B:B,MATCH(Table1[[#This Row],[Position ID]],Position!A:A, 0 ))</f>
        <v>Production Technician II</v>
      </c>
      <c r="Y163" t="str">
        <f>INDEX(Department!B:B,MATCH(Table1[[#This Row],[Department ID]],Department!A:A,0))</f>
        <v>Production</v>
      </c>
      <c r="Z163" t="str">
        <f>INDEX(Manager!B:B,MATCH(Table1[[#This Row],[Manger ID]],Manager!A:A,0))</f>
        <v>Kissy Sullivan</v>
      </c>
      <c r="AA163">
        <f ca="1">DATEDIF(Table1[[#This Row],[DOB]],TODAY(), "Y")</f>
        <v>39</v>
      </c>
      <c r="AB163" t="str">
        <f ca="1">IF(Table1[[#This Row],[ Age]]&lt;18,"Less than 18",IF(Table1[[#This Row],[ Age]]&lt;=29,"18-29",IF(Table1[[#This Row],[ Age]]&lt;=49,"30-49",IF(Table1[[#This Row],[ Age]]&lt;=59,"50-59","60 or more"))))</f>
        <v>30-49</v>
      </c>
      <c r="AC163" s="8">
        <f ca="1">IF(ISBLANK(Table1[[#This Row],[DateofTermination]]),DATEDIF(Table1[[#This Row],[DateofHire]],TODAY(), "M"),DATEDIF(Table1[[#This Row],[DateofHire]],Table1[[#This Row],[DateofTermination]],"M"))/12</f>
        <v>1</v>
      </c>
      <c r="AD163" t="str">
        <f>IF(Table1[[#This Row],[EmpSatisfaction]]=1,"Very Dissatisfied", IF(Table1[[#This Row],[EmpSatisfaction]] = 2, "Dissatisfied", IF(Table1[[#This Row],[EmpSatisfaction]]  = 3, "Neutral", IF(Table1[[#This Row],[EmpSatisfaction]] = 4, "Satisfied", IF(Table1[[#This Row],[EmpSatisfaction]]=5,"Very Satisfied", " ")))))</f>
        <v>Neutral</v>
      </c>
      <c r="AE163">
        <f>YEAR(Table1[[#This Row],[DateofHire]])</f>
        <v>2012</v>
      </c>
      <c r="AF163" t="s">
        <v>535</v>
      </c>
    </row>
    <row r="164" spans="1:32" x14ac:dyDescent="0.3">
      <c r="A164" t="s">
        <v>276</v>
      </c>
      <c r="B164">
        <v>10232</v>
      </c>
      <c r="C164" t="s">
        <v>477</v>
      </c>
      <c r="D164" t="s">
        <v>488</v>
      </c>
      <c r="E164">
        <v>10197</v>
      </c>
      <c r="F164" s="1">
        <v>42645</v>
      </c>
      <c r="G164" s="7">
        <v>81584</v>
      </c>
      <c r="H164" t="s">
        <v>499</v>
      </c>
      <c r="I164" s="1">
        <v>31942</v>
      </c>
      <c r="J164" t="s">
        <v>22</v>
      </c>
      <c r="K164" t="s">
        <v>23</v>
      </c>
      <c r="L164" t="s">
        <v>82</v>
      </c>
      <c r="M164" t="s">
        <v>21</v>
      </c>
      <c r="N164">
        <v>1886</v>
      </c>
      <c r="P164" t="s">
        <v>512</v>
      </c>
      <c r="Q164" t="s">
        <v>25</v>
      </c>
      <c r="R164" t="s">
        <v>35</v>
      </c>
      <c r="S164" t="s">
        <v>36</v>
      </c>
      <c r="T164">
        <v>4.0999999999999996</v>
      </c>
      <c r="U164">
        <v>5</v>
      </c>
      <c r="V164" s="1">
        <v>43473</v>
      </c>
      <c r="W164">
        <v>2</v>
      </c>
      <c r="X164" t="str">
        <f>INDEX(Position!B:B,MATCH(Table1[[#This Row],[Position ID]],Position!A:A, 0 ))</f>
        <v>Senior BI Developer</v>
      </c>
      <c r="Y164" t="str">
        <f>INDEX(Department!B:B,MATCH(Table1[[#This Row],[Department ID]],Department!A:A,0))</f>
        <v>IT/IS</v>
      </c>
      <c r="Z164" t="str">
        <f>INDEX(Manager!B:B,MATCH(Table1[[#This Row],[Manger ID]],Manager!A:A,0))</f>
        <v>Brian Champaigne</v>
      </c>
      <c r="AA164">
        <f ca="1">DATEDIF(Table1[[#This Row],[DOB]],TODAY(), "Y")</f>
        <v>36</v>
      </c>
      <c r="AB164" t="str">
        <f ca="1">IF(Table1[[#This Row],[ Age]]&lt;18,"Less than 18",IF(Table1[[#This Row],[ Age]]&lt;=29,"18-29",IF(Table1[[#This Row],[ Age]]&lt;=49,"30-49",IF(Table1[[#This Row],[ Age]]&lt;=59,"50-59","60 or more"))))</f>
        <v>30-49</v>
      </c>
      <c r="AC164" s="8">
        <f ca="1">IF(ISBLANK(Table1[[#This Row],[DateofTermination]]),DATEDIF(Table1[[#This Row],[DateofHire]],TODAY(), "M"),DATEDIF(Table1[[#This Row],[DateofHire]],Table1[[#This Row],[DateofTermination]],"M"))/12</f>
        <v>7.5</v>
      </c>
      <c r="AD164" t="str">
        <f>IF(Table1[[#This Row],[EmpSatisfaction]]=1,"Very Dissatisfied", IF(Table1[[#This Row],[EmpSatisfaction]] = 2, "Dissatisfied", IF(Table1[[#This Row],[EmpSatisfaction]]  = 3, "Neutral", IF(Table1[[#This Row],[EmpSatisfaction]] = 4, "Satisfied", IF(Table1[[#This Row],[EmpSatisfaction]]=5,"Very Satisfied", " ")))))</f>
        <v>Very Satisfied</v>
      </c>
      <c r="AE164">
        <f>YEAR(Table1[[#This Row],[DateofHire]])</f>
        <v>2016</v>
      </c>
      <c r="AF164" t="s">
        <v>25</v>
      </c>
    </row>
    <row r="165" spans="1:32" hidden="1" x14ac:dyDescent="0.3">
      <c r="A165" t="s">
        <v>278</v>
      </c>
      <c r="B165">
        <v>10087</v>
      </c>
      <c r="C165" t="s">
        <v>474</v>
      </c>
      <c r="D165" t="s">
        <v>489</v>
      </c>
      <c r="E165">
        <v>10196</v>
      </c>
      <c r="F165" s="1">
        <v>40812</v>
      </c>
      <c r="G165" s="7">
        <v>63676</v>
      </c>
      <c r="H165" t="s">
        <v>499</v>
      </c>
      <c r="I165" s="1">
        <v>28872</v>
      </c>
      <c r="J165" t="s">
        <v>22</v>
      </c>
      <c r="K165" t="s">
        <v>23</v>
      </c>
      <c r="L165" t="s">
        <v>82</v>
      </c>
      <c r="M165" t="s">
        <v>21</v>
      </c>
      <c r="N165">
        <v>1810</v>
      </c>
      <c r="O165" s="1">
        <v>43331</v>
      </c>
      <c r="P165" t="s">
        <v>515</v>
      </c>
      <c r="Q165" t="s">
        <v>32</v>
      </c>
      <c r="R165" t="s">
        <v>87</v>
      </c>
      <c r="S165" t="s">
        <v>36</v>
      </c>
      <c r="T165">
        <v>4.88</v>
      </c>
      <c r="U165">
        <v>3</v>
      </c>
      <c r="V165" s="1">
        <v>42918</v>
      </c>
      <c r="W165">
        <v>17</v>
      </c>
      <c r="X165" t="str">
        <f>INDEX(Position!B:B,MATCH(Table1[[#This Row],[Position ID]],Position!A:A, 0 ))</f>
        <v>Production Technician I</v>
      </c>
      <c r="Y165" t="str">
        <f>INDEX(Department!B:B,MATCH(Table1[[#This Row],[Department ID]],Department!A:A,0))</f>
        <v>Production</v>
      </c>
      <c r="Z165" t="str">
        <f>INDEX(Manager!B:B,MATCH(Table1[[#This Row],[Manger ID]],Manager!A:A,0))</f>
        <v>Kissy Sullivan</v>
      </c>
      <c r="AA165">
        <f ca="1">DATEDIF(Table1[[#This Row],[DOB]],TODAY(), "Y")</f>
        <v>45</v>
      </c>
      <c r="AB165" t="str">
        <f ca="1">IF(Table1[[#This Row],[ Age]]&lt;18,"Less than 18",IF(Table1[[#This Row],[ Age]]&lt;=29,"18-29",IF(Table1[[#This Row],[ Age]]&lt;=49,"30-49",IF(Table1[[#This Row],[ Age]]&lt;=59,"50-59","60 or more"))))</f>
        <v>30-49</v>
      </c>
      <c r="AC165" s="8">
        <f ca="1">IF(ISBLANK(Table1[[#This Row],[DateofTermination]]),DATEDIF(Table1[[#This Row],[DateofHire]],TODAY(), "M"),DATEDIF(Table1[[#This Row],[DateofHire]],Table1[[#This Row],[DateofTermination]],"M"))/12</f>
        <v>6.833333333333333</v>
      </c>
      <c r="AD165" t="str">
        <f>IF(Table1[[#This Row],[EmpSatisfaction]]=1,"Very Dissatisfied", IF(Table1[[#This Row],[EmpSatisfaction]] = 2, "Dissatisfied", IF(Table1[[#This Row],[EmpSatisfaction]]  = 3, "Neutral", IF(Table1[[#This Row],[EmpSatisfaction]] = 4, "Satisfied", IF(Table1[[#This Row],[EmpSatisfaction]]=5,"Very Satisfied", " ")))))</f>
        <v>Neutral</v>
      </c>
      <c r="AE165">
        <f>YEAR(Table1[[#This Row],[DateofHire]])</f>
        <v>2011</v>
      </c>
      <c r="AF165" t="s">
        <v>535</v>
      </c>
    </row>
    <row r="166" spans="1:32" x14ac:dyDescent="0.3">
      <c r="A166" t="s">
        <v>279</v>
      </c>
      <c r="B166">
        <v>10134</v>
      </c>
      <c r="C166" t="s">
        <v>478</v>
      </c>
      <c r="D166" t="s">
        <v>486</v>
      </c>
      <c r="E166">
        <v>10175</v>
      </c>
      <c r="F166" s="1">
        <v>42374</v>
      </c>
      <c r="G166" s="7">
        <v>93046</v>
      </c>
      <c r="H166" t="s">
        <v>498</v>
      </c>
      <c r="I166" s="1">
        <v>30843</v>
      </c>
      <c r="J166" t="s">
        <v>31</v>
      </c>
      <c r="K166" t="s">
        <v>23</v>
      </c>
      <c r="L166" t="s">
        <v>24</v>
      </c>
      <c r="M166" t="s">
        <v>21</v>
      </c>
      <c r="N166">
        <v>1460</v>
      </c>
      <c r="P166" t="s">
        <v>512</v>
      </c>
      <c r="Q166" t="s">
        <v>25</v>
      </c>
      <c r="R166" t="s">
        <v>87</v>
      </c>
      <c r="S166" t="s">
        <v>36</v>
      </c>
      <c r="T166">
        <v>4.0999999999999996</v>
      </c>
      <c r="U166">
        <v>4</v>
      </c>
      <c r="V166" s="1">
        <v>43493</v>
      </c>
      <c r="W166">
        <v>20</v>
      </c>
      <c r="X166" t="str">
        <f>INDEX(Position!B:B,MATCH(Table1[[#This Row],[Position ID]],Position!A:A, 0 ))</f>
        <v>Shared Services Manager</v>
      </c>
      <c r="Y166" t="str">
        <f>INDEX(Department!B:B,MATCH(Table1[[#This Row],[Department ID]],Department!A:A,0))</f>
        <v>Admin Offices</v>
      </c>
      <c r="Z166" t="str">
        <f>INDEX(Manager!B:B,MATCH(Table1[[#This Row],[Manger ID]],Manager!A:A,0))</f>
        <v>Janet King</v>
      </c>
      <c r="AA166">
        <f ca="1">DATEDIF(Table1[[#This Row],[DOB]],TODAY(), "Y")</f>
        <v>39</v>
      </c>
      <c r="AB166" t="str">
        <f ca="1">IF(Table1[[#This Row],[ Age]]&lt;18,"Less than 18",IF(Table1[[#This Row],[ Age]]&lt;=29,"18-29",IF(Table1[[#This Row],[ Age]]&lt;=49,"30-49",IF(Table1[[#This Row],[ Age]]&lt;=59,"50-59","60 or more"))))</f>
        <v>30-49</v>
      </c>
      <c r="AC166" s="8">
        <f ca="1">IF(ISBLANK(Table1[[#This Row],[DateofTermination]]),DATEDIF(Table1[[#This Row],[DateofHire]],TODAY(), "M"),DATEDIF(Table1[[#This Row],[DateofHire]],Table1[[#This Row],[DateofTermination]],"M"))/12</f>
        <v>8.25</v>
      </c>
      <c r="AD166" t="str">
        <f>IF(Table1[[#This Row],[EmpSatisfaction]]=1,"Very Dissatisfied", IF(Table1[[#This Row],[EmpSatisfaction]] = 2, "Dissatisfied", IF(Table1[[#This Row],[EmpSatisfaction]]  = 3, "Neutral", IF(Table1[[#This Row],[EmpSatisfaction]] = 4, "Satisfied", IF(Table1[[#This Row],[EmpSatisfaction]]=5,"Very Satisfied", " ")))))</f>
        <v>Satisfied</v>
      </c>
      <c r="AE166">
        <f>YEAR(Table1[[#This Row],[DateofHire]])</f>
        <v>2016</v>
      </c>
      <c r="AF166" t="s">
        <v>25</v>
      </c>
    </row>
    <row r="167" spans="1:32" x14ac:dyDescent="0.3">
      <c r="A167" t="s">
        <v>281</v>
      </c>
      <c r="B167">
        <v>10251</v>
      </c>
      <c r="C167" t="s">
        <v>474</v>
      </c>
      <c r="D167" t="s">
        <v>489</v>
      </c>
      <c r="E167">
        <v>10088</v>
      </c>
      <c r="F167" s="1">
        <v>41043</v>
      </c>
      <c r="G167" s="7">
        <v>64738</v>
      </c>
      <c r="H167" t="s">
        <v>498</v>
      </c>
      <c r="I167" s="1">
        <v>30196</v>
      </c>
      <c r="J167" t="s">
        <v>31</v>
      </c>
      <c r="K167" t="s">
        <v>23</v>
      </c>
      <c r="L167" t="s">
        <v>82</v>
      </c>
      <c r="M167" t="s">
        <v>21</v>
      </c>
      <c r="N167">
        <v>1776</v>
      </c>
      <c r="P167" t="s">
        <v>512</v>
      </c>
      <c r="Q167" t="s">
        <v>25</v>
      </c>
      <c r="R167" t="s">
        <v>45</v>
      </c>
      <c r="S167" t="s">
        <v>36</v>
      </c>
      <c r="T167">
        <v>4.0999999999999996</v>
      </c>
      <c r="U167">
        <v>3</v>
      </c>
      <c r="V167" s="1">
        <v>43518</v>
      </c>
      <c r="W167">
        <v>10</v>
      </c>
      <c r="X167" t="str">
        <f>INDEX(Position!B:B,MATCH(Table1[[#This Row],[Position ID]],Position!A:A, 0 ))</f>
        <v>Production Technician I</v>
      </c>
      <c r="Y167" t="str">
        <f>INDEX(Department!B:B,MATCH(Table1[[#This Row],[Department ID]],Department!A:A,0))</f>
        <v>Production</v>
      </c>
      <c r="Z167" t="str">
        <f>INDEX(Manager!B:B,MATCH(Table1[[#This Row],[Manger ID]],Manager!A:A,0))</f>
        <v>Elijiah Gray</v>
      </c>
      <c r="AA167">
        <f ca="1">DATEDIF(Table1[[#This Row],[DOB]],TODAY(), "Y")</f>
        <v>41</v>
      </c>
      <c r="AB167" t="str">
        <f ca="1">IF(Table1[[#This Row],[ Age]]&lt;18,"Less than 18",IF(Table1[[#This Row],[ Age]]&lt;=29,"18-29",IF(Table1[[#This Row],[ Age]]&lt;=49,"30-49",IF(Table1[[#This Row],[ Age]]&lt;=59,"50-59","60 or more"))))</f>
        <v>30-49</v>
      </c>
      <c r="AC167" s="8">
        <f ca="1">IF(ISBLANK(Table1[[#This Row],[DateofTermination]]),DATEDIF(Table1[[#This Row],[DateofHire]],TODAY(), "M"),DATEDIF(Table1[[#This Row],[DateofHire]],Table1[[#This Row],[DateofTermination]],"M"))/12</f>
        <v>11.833333333333334</v>
      </c>
      <c r="AD167" t="str">
        <f>IF(Table1[[#This Row],[EmpSatisfaction]]=1,"Very Dissatisfied", IF(Table1[[#This Row],[EmpSatisfaction]] = 2, "Dissatisfied", IF(Table1[[#This Row],[EmpSatisfaction]]  = 3, "Neutral", IF(Table1[[#This Row],[EmpSatisfaction]] = 4, "Satisfied", IF(Table1[[#This Row],[EmpSatisfaction]]=5,"Very Satisfied", " ")))))</f>
        <v>Neutral</v>
      </c>
      <c r="AE167">
        <f>YEAR(Table1[[#This Row],[DateofHire]])</f>
        <v>2012</v>
      </c>
      <c r="AF167" t="s">
        <v>25</v>
      </c>
    </row>
    <row r="168" spans="1:32" x14ac:dyDescent="0.3">
      <c r="A168" t="s">
        <v>282</v>
      </c>
      <c r="B168">
        <v>10103</v>
      </c>
      <c r="C168" t="s">
        <v>454</v>
      </c>
      <c r="D168" t="s">
        <v>490</v>
      </c>
      <c r="E168">
        <v>10188</v>
      </c>
      <c r="F168" s="1">
        <v>41029</v>
      </c>
      <c r="G168" s="7">
        <v>70468</v>
      </c>
      <c r="H168" t="s">
        <v>498</v>
      </c>
      <c r="I168" s="1">
        <v>32504</v>
      </c>
      <c r="J168" t="s">
        <v>105</v>
      </c>
      <c r="K168" t="s">
        <v>23</v>
      </c>
      <c r="L168" t="s">
        <v>57</v>
      </c>
      <c r="M168" t="s">
        <v>283</v>
      </c>
      <c r="N168">
        <v>84111</v>
      </c>
      <c r="P168" t="s">
        <v>512</v>
      </c>
      <c r="Q168" t="s">
        <v>25</v>
      </c>
      <c r="R168" t="s">
        <v>167</v>
      </c>
      <c r="S168" t="s">
        <v>36</v>
      </c>
      <c r="T168">
        <v>4.53</v>
      </c>
      <c r="U168">
        <v>3</v>
      </c>
      <c r="V168" s="1">
        <v>43494</v>
      </c>
      <c r="W168">
        <v>16</v>
      </c>
      <c r="X168" t="str">
        <f>INDEX(Position!B:B,MATCH(Table1[[#This Row],[Position ID]],Position!A:A, 0 ))</f>
        <v>Area Sales Manager</v>
      </c>
      <c r="Y168" t="str">
        <f>INDEX(Department!B:B,MATCH(Table1[[#This Row],[Department ID]],Department!A:A,0))</f>
        <v>Sales</v>
      </c>
      <c r="Z168" t="str">
        <f>INDEX(Manager!B:B,MATCH(Table1[[#This Row],[Manger ID]],Manager!A:A,0))</f>
        <v>John Smith</v>
      </c>
      <c r="AA168">
        <f ca="1">DATEDIF(Table1[[#This Row],[DOB]],TODAY(), "Y")</f>
        <v>35</v>
      </c>
      <c r="AB168" t="str">
        <f ca="1">IF(Table1[[#This Row],[ Age]]&lt;18,"Less than 18",IF(Table1[[#This Row],[ Age]]&lt;=29,"18-29",IF(Table1[[#This Row],[ Age]]&lt;=49,"30-49",IF(Table1[[#This Row],[ Age]]&lt;=59,"50-59","60 or more"))))</f>
        <v>30-49</v>
      </c>
      <c r="AC168" s="8">
        <f ca="1">IF(ISBLANK(Table1[[#This Row],[DateofTermination]]),DATEDIF(Table1[[#This Row],[DateofHire]],TODAY(), "M"),DATEDIF(Table1[[#This Row],[DateofHire]],Table1[[#This Row],[DateofTermination]],"M"))/12</f>
        <v>11.916666666666666</v>
      </c>
      <c r="AD168" t="str">
        <f>IF(Table1[[#This Row],[EmpSatisfaction]]=1,"Very Dissatisfied", IF(Table1[[#This Row],[EmpSatisfaction]] = 2, "Dissatisfied", IF(Table1[[#This Row],[EmpSatisfaction]]  = 3, "Neutral", IF(Table1[[#This Row],[EmpSatisfaction]] = 4, "Satisfied", IF(Table1[[#This Row],[EmpSatisfaction]]=5,"Very Satisfied", " ")))))</f>
        <v>Neutral</v>
      </c>
      <c r="AE168">
        <f>YEAR(Table1[[#This Row],[DateofHire]])</f>
        <v>2012</v>
      </c>
      <c r="AF168" t="s">
        <v>25</v>
      </c>
    </row>
    <row r="169" spans="1:32" x14ac:dyDescent="0.3">
      <c r="A169" t="s">
        <v>284</v>
      </c>
      <c r="B169">
        <v>10017</v>
      </c>
      <c r="C169" t="s">
        <v>473</v>
      </c>
      <c r="D169" t="s">
        <v>489</v>
      </c>
      <c r="E169">
        <v>10175</v>
      </c>
      <c r="F169" s="1">
        <v>41547</v>
      </c>
      <c r="G169" s="7">
        <v>77915</v>
      </c>
      <c r="H169" t="s">
        <v>499</v>
      </c>
      <c r="I169" s="1">
        <v>29885</v>
      </c>
      <c r="J169" t="s">
        <v>31</v>
      </c>
      <c r="K169" t="s">
        <v>23</v>
      </c>
      <c r="L169" t="s">
        <v>24</v>
      </c>
      <c r="M169" t="s">
        <v>21</v>
      </c>
      <c r="N169">
        <v>2110</v>
      </c>
      <c r="P169" t="s">
        <v>512</v>
      </c>
      <c r="Q169" t="s">
        <v>25</v>
      </c>
      <c r="R169" t="s">
        <v>167</v>
      </c>
      <c r="S169" t="s">
        <v>28</v>
      </c>
      <c r="T169">
        <v>4.0999999999999996</v>
      </c>
      <c r="U169">
        <v>3</v>
      </c>
      <c r="V169" s="1">
        <v>43486</v>
      </c>
      <c r="W169">
        <v>11</v>
      </c>
      <c r="X169" t="str">
        <f>INDEX(Position!B:B,MATCH(Table1[[#This Row],[Position ID]],Position!A:A, 0 ))</f>
        <v>Production Manager</v>
      </c>
      <c r="Y169" t="str">
        <f>INDEX(Department!B:B,MATCH(Table1[[#This Row],[Department ID]],Department!A:A,0))</f>
        <v>Production</v>
      </c>
      <c r="Z169" t="str">
        <f>INDEX(Manager!B:B,MATCH(Table1[[#This Row],[Manger ID]],Manager!A:A,0))</f>
        <v>Janet King</v>
      </c>
      <c r="AA169">
        <f ca="1">DATEDIF(Table1[[#This Row],[DOB]],TODAY(), "Y")</f>
        <v>42</v>
      </c>
      <c r="AB169" t="str">
        <f ca="1">IF(Table1[[#This Row],[ Age]]&lt;18,"Less than 18",IF(Table1[[#This Row],[ Age]]&lt;=29,"18-29",IF(Table1[[#This Row],[ Age]]&lt;=49,"30-49",IF(Table1[[#This Row],[ Age]]&lt;=59,"50-59","60 or more"))))</f>
        <v>30-49</v>
      </c>
      <c r="AC169" s="8">
        <f ca="1">IF(ISBLANK(Table1[[#This Row],[DateofTermination]]),DATEDIF(Table1[[#This Row],[DateofHire]],TODAY(), "M"),DATEDIF(Table1[[#This Row],[DateofHire]],Table1[[#This Row],[DateofTermination]],"M"))/12</f>
        <v>10.5</v>
      </c>
      <c r="AD169" t="str">
        <f>IF(Table1[[#This Row],[EmpSatisfaction]]=1,"Very Dissatisfied", IF(Table1[[#This Row],[EmpSatisfaction]] = 2, "Dissatisfied", IF(Table1[[#This Row],[EmpSatisfaction]]  = 3, "Neutral", IF(Table1[[#This Row],[EmpSatisfaction]] = 4, "Satisfied", IF(Table1[[#This Row],[EmpSatisfaction]]=5,"Very Satisfied", " ")))))</f>
        <v>Neutral</v>
      </c>
      <c r="AE169">
        <f>YEAR(Table1[[#This Row],[DateofHire]])</f>
        <v>2013</v>
      </c>
      <c r="AF169" t="s">
        <v>25</v>
      </c>
    </row>
    <row r="170" spans="1:32" hidden="1" x14ac:dyDescent="0.3">
      <c r="A170" t="s">
        <v>285</v>
      </c>
      <c r="B170">
        <v>10186</v>
      </c>
      <c r="C170" t="s">
        <v>474</v>
      </c>
      <c r="D170" t="s">
        <v>489</v>
      </c>
      <c r="E170">
        <v>10026</v>
      </c>
      <c r="F170" s="1">
        <v>40729</v>
      </c>
      <c r="G170" s="7">
        <v>52624</v>
      </c>
      <c r="H170" t="s">
        <v>499</v>
      </c>
      <c r="I170" s="1">
        <v>29671</v>
      </c>
      <c r="J170" t="s">
        <v>31</v>
      </c>
      <c r="K170" t="s">
        <v>23</v>
      </c>
      <c r="L170" t="s">
        <v>24</v>
      </c>
      <c r="M170" t="s">
        <v>21</v>
      </c>
      <c r="N170">
        <v>1886</v>
      </c>
      <c r="O170" s="1">
        <v>43369</v>
      </c>
      <c r="P170" t="s">
        <v>517</v>
      </c>
      <c r="Q170" t="s">
        <v>32</v>
      </c>
      <c r="R170" t="s">
        <v>35</v>
      </c>
      <c r="S170" t="s">
        <v>36</v>
      </c>
      <c r="T170">
        <v>3.18</v>
      </c>
      <c r="U170">
        <v>4</v>
      </c>
      <c r="V170" s="1">
        <v>43161</v>
      </c>
      <c r="W170">
        <v>16</v>
      </c>
      <c r="X170" t="str">
        <f>INDEX(Position!B:B,MATCH(Table1[[#This Row],[Position ID]],Position!A:A, 0 ))</f>
        <v>Production Technician I</v>
      </c>
      <c r="Y170" t="str">
        <f>INDEX(Department!B:B,MATCH(Table1[[#This Row],[Department ID]],Department!A:A,0))</f>
        <v>Production</v>
      </c>
      <c r="Z170" t="str">
        <f>INDEX(Manager!B:B,MATCH(Table1[[#This Row],[Manger ID]],Manager!A:A,0))</f>
        <v>Michael Albert</v>
      </c>
      <c r="AA170">
        <f ca="1">DATEDIF(Table1[[#This Row],[DOB]],TODAY(), "Y")</f>
        <v>43</v>
      </c>
      <c r="AB170" t="str">
        <f ca="1">IF(Table1[[#This Row],[ Age]]&lt;18,"Less than 18",IF(Table1[[#This Row],[ Age]]&lt;=29,"18-29",IF(Table1[[#This Row],[ Age]]&lt;=49,"30-49",IF(Table1[[#This Row],[ Age]]&lt;=59,"50-59","60 or more"))))</f>
        <v>30-49</v>
      </c>
      <c r="AC170" s="8">
        <f ca="1">IF(ISBLANK(Table1[[#This Row],[DateofTermination]]),DATEDIF(Table1[[#This Row],[DateofHire]],TODAY(), "M"),DATEDIF(Table1[[#This Row],[DateofHire]],Table1[[#This Row],[DateofTermination]],"M"))/12</f>
        <v>7.166666666666667</v>
      </c>
      <c r="AD170" t="str">
        <f>IF(Table1[[#This Row],[EmpSatisfaction]]=1,"Very Dissatisfied", IF(Table1[[#This Row],[EmpSatisfaction]] = 2, "Dissatisfied", IF(Table1[[#This Row],[EmpSatisfaction]]  = 3, "Neutral", IF(Table1[[#This Row],[EmpSatisfaction]] = 4, "Satisfied", IF(Table1[[#This Row],[EmpSatisfaction]]=5,"Very Satisfied", " ")))))</f>
        <v>Satisfied</v>
      </c>
      <c r="AE170">
        <f>YEAR(Table1[[#This Row],[DateofHire]])</f>
        <v>2011</v>
      </c>
      <c r="AF170" t="s">
        <v>535</v>
      </c>
    </row>
    <row r="171" spans="1:32" x14ac:dyDescent="0.3">
      <c r="A171" t="s">
        <v>286</v>
      </c>
      <c r="B171">
        <v>10137</v>
      </c>
      <c r="C171" t="s">
        <v>475</v>
      </c>
      <c r="D171" t="s">
        <v>489</v>
      </c>
      <c r="E171">
        <v>10265</v>
      </c>
      <c r="F171" s="1">
        <v>41463</v>
      </c>
      <c r="G171" s="7">
        <v>63450</v>
      </c>
      <c r="H171" t="s">
        <v>498</v>
      </c>
      <c r="I171" s="1">
        <v>28933</v>
      </c>
      <c r="J171" t="s">
        <v>31</v>
      </c>
      <c r="K171" t="s">
        <v>23</v>
      </c>
      <c r="L171" t="s">
        <v>24</v>
      </c>
      <c r="M171" t="s">
        <v>21</v>
      </c>
      <c r="N171">
        <v>1770</v>
      </c>
      <c r="P171" t="s">
        <v>512</v>
      </c>
      <c r="Q171" t="s">
        <v>25</v>
      </c>
      <c r="R171" t="s">
        <v>27</v>
      </c>
      <c r="S171" t="s">
        <v>36</v>
      </c>
      <c r="T171">
        <v>4</v>
      </c>
      <c r="U171">
        <v>3</v>
      </c>
      <c r="V171" s="1">
        <v>43514</v>
      </c>
      <c r="W171">
        <v>7</v>
      </c>
      <c r="X171" t="str">
        <f>INDEX(Position!B:B,MATCH(Table1[[#This Row],[Position ID]],Position!A:A, 0 ))</f>
        <v>Production Technician II</v>
      </c>
      <c r="Y171" t="str">
        <f>INDEX(Department!B:B,MATCH(Table1[[#This Row],[Department ID]],Department!A:A,0))</f>
        <v>Production</v>
      </c>
      <c r="Z171" t="str">
        <f>INDEX(Manager!B:B,MATCH(Table1[[#This Row],[Manger ID]],Manager!A:A,0))</f>
        <v>Kelley Spirea</v>
      </c>
      <c r="AA171">
        <f ca="1">DATEDIF(Table1[[#This Row],[DOB]],TODAY(), "Y")</f>
        <v>45</v>
      </c>
      <c r="AB171" t="str">
        <f ca="1">IF(Table1[[#This Row],[ Age]]&lt;18,"Less than 18",IF(Table1[[#This Row],[ Age]]&lt;=29,"18-29",IF(Table1[[#This Row],[ Age]]&lt;=49,"30-49",IF(Table1[[#This Row],[ Age]]&lt;=59,"50-59","60 or more"))))</f>
        <v>30-49</v>
      </c>
      <c r="AC171" s="8">
        <f ca="1">IF(ISBLANK(Table1[[#This Row],[DateofTermination]]),DATEDIF(Table1[[#This Row],[DateofHire]],TODAY(), "M"),DATEDIF(Table1[[#This Row],[DateofHire]],Table1[[#This Row],[DateofTermination]],"M"))/12</f>
        <v>10.75</v>
      </c>
      <c r="AD171" t="str">
        <f>IF(Table1[[#This Row],[EmpSatisfaction]]=1,"Very Dissatisfied", IF(Table1[[#This Row],[EmpSatisfaction]] = 2, "Dissatisfied", IF(Table1[[#This Row],[EmpSatisfaction]]  = 3, "Neutral", IF(Table1[[#This Row],[EmpSatisfaction]] = 4, "Satisfied", IF(Table1[[#This Row],[EmpSatisfaction]]=5,"Very Satisfied", " ")))))</f>
        <v>Neutral</v>
      </c>
      <c r="AE171">
        <f>YEAR(Table1[[#This Row],[DateofHire]])</f>
        <v>2013</v>
      </c>
      <c r="AF171" t="s">
        <v>25</v>
      </c>
    </row>
    <row r="172" spans="1:32" x14ac:dyDescent="0.3">
      <c r="A172" t="s">
        <v>287</v>
      </c>
      <c r="B172">
        <v>10008</v>
      </c>
      <c r="C172" t="s">
        <v>469</v>
      </c>
      <c r="D172" t="s">
        <v>488</v>
      </c>
      <c r="E172">
        <v>10220</v>
      </c>
      <c r="F172" s="1">
        <v>40564</v>
      </c>
      <c r="G172" s="7">
        <v>51777</v>
      </c>
      <c r="H172" t="s">
        <v>499</v>
      </c>
      <c r="I172" s="1">
        <v>32421</v>
      </c>
      <c r="J172" t="s">
        <v>22</v>
      </c>
      <c r="K172" t="s">
        <v>23</v>
      </c>
      <c r="L172" t="s">
        <v>57</v>
      </c>
      <c r="M172" t="s">
        <v>92</v>
      </c>
      <c r="N172">
        <v>6070</v>
      </c>
      <c r="P172" t="s">
        <v>512</v>
      </c>
      <c r="Q172" t="s">
        <v>25</v>
      </c>
      <c r="R172" t="s">
        <v>59</v>
      </c>
      <c r="S172" t="s">
        <v>28</v>
      </c>
      <c r="T172">
        <v>4.6399999999999997</v>
      </c>
      <c r="U172">
        <v>4</v>
      </c>
      <c r="V172" s="1">
        <v>43490</v>
      </c>
      <c r="W172">
        <v>14</v>
      </c>
      <c r="X172" t="str">
        <f>INDEX(Position!B:B,MATCH(Table1[[#This Row],[Position ID]],Position!A:A, 0 ))</f>
        <v>IT Support</v>
      </c>
      <c r="Y172" t="str">
        <f>INDEX(Department!B:B,MATCH(Table1[[#This Row],[Department ID]],Department!A:A,0))</f>
        <v>IT/IS</v>
      </c>
      <c r="Z172" t="str">
        <f>INDEX(Manager!B:B,MATCH(Table1[[#This Row],[Manger ID]],Manager!A:A,0))</f>
        <v>Eric Dougall</v>
      </c>
      <c r="AA172">
        <f ca="1">DATEDIF(Table1[[#This Row],[DOB]],TODAY(), "Y")</f>
        <v>35</v>
      </c>
      <c r="AB172" t="str">
        <f ca="1">IF(Table1[[#This Row],[ Age]]&lt;18,"Less than 18",IF(Table1[[#This Row],[ Age]]&lt;=29,"18-29",IF(Table1[[#This Row],[ Age]]&lt;=49,"30-49",IF(Table1[[#This Row],[ Age]]&lt;=59,"50-59","60 or more"))))</f>
        <v>30-49</v>
      </c>
      <c r="AC172" s="8">
        <f ca="1">IF(ISBLANK(Table1[[#This Row],[DateofTermination]]),DATEDIF(Table1[[#This Row],[DateofHire]],TODAY(), "M"),DATEDIF(Table1[[#This Row],[DateofHire]],Table1[[#This Row],[DateofTermination]],"M"))/12</f>
        <v>13.166666666666666</v>
      </c>
      <c r="AD172" t="str">
        <f>IF(Table1[[#This Row],[EmpSatisfaction]]=1,"Very Dissatisfied", IF(Table1[[#This Row],[EmpSatisfaction]] = 2, "Dissatisfied", IF(Table1[[#This Row],[EmpSatisfaction]]  = 3, "Neutral", IF(Table1[[#This Row],[EmpSatisfaction]] = 4, "Satisfied", IF(Table1[[#This Row],[EmpSatisfaction]]=5,"Very Satisfied", " ")))))</f>
        <v>Satisfied</v>
      </c>
      <c r="AE172">
        <f>YEAR(Table1[[#This Row],[DateofHire]])</f>
        <v>2011</v>
      </c>
      <c r="AF172" t="s">
        <v>25</v>
      </c>
    </row>
    <row r="173" spans="1:32" hidden="1" x14ac:dyDescent="0.3">
      <c r="A173" t="s">
        <v>288</v>
      </c>
      <c r="B173">
        <v>10096</v>
      </c>
      <c r="C173" t="s">
        <v>475</v>
      </c>
      <c r="D173" t="s">
        <v>489</v>
      </c>
      <c r="E173">
        <v>10026</v>
      </c>
      <c r="F173" s="1">
        <v>41463</v>
      </c>
      <c r="G173" s="7">
        <v>67237</v>
      </c>
      <c r="H173" t="s">
        <v>499</v>
      </c>
      <c r="I173" s="1">
        <v>28120</v>
      </c>
      <c r="J173" t="s">
        <v>53</v>
      </c>
      <c r="K173" t="s">
        <v>23</v>
      </c>
      <c r="L173" t="s">
        <v>24</v>
      </c>
      <c r="M173" t="s">
        <v>21</v>
      </c>
      <c r="N173">
        <v>2122</v>
      </c>
      <c r="O173" s="1">
        <v>42628</v>
      </c>
      <c r="P173" t="s">
        <v>523</v>
      </c>
      <c r="Q173" t="s">
        <v>32</v>
      </c>
      <c r="R173" t="s">
        <v>27</v>
      </c>
      <c r="S173" t="s">
        <v>36</v>
      </c>
      <c r="T173">
        <v>4.6500000000000004</v>
      </c>
      <c r="U173">
        <v>4</v>
      </c>
      <c r="V173" s="1">
        <v>42531</v>
      </c>
      <c r="W173">
        <v>15</v>
      </c>
      <c r="X173" t="str">
        <f>INDEX(Position!B:B,MATCH(Table1[[#This Row],[Position ID]],Position!A:A, 0 ))</f>
        <v>Production Technician II</v>
      </c>
      <c r="Y173" t="str">
        <f>INDEX(Department!B:B,MATCH(Table1[[#This Row],[Department ID]],Department!A:A,0))</f>
        <v>Production</v>
      </c>
      <c r="Z173" t="str">
        <f>INDEX(Manager!B:B,MATCH(Table1[[#This Row],[Manger ID]],Manager!A:A,0))</f>
        <v>Michael Albert</v>
      </c>
      <c r="AA173">
        <f ca="1">DATEDIF(Table1[[#This Row],[DOB]],TODAY(), "Y")</f>
        <v>47</v>
      </c>
      <c r="AB173" t="str">
        <f ca="1">IF(Table1[[#This Row],[ Age]]&lt;18,"Less than 18",IF(Table1[[#This Row],[ Age]]&lt;=29,"18-29",IF(Table1[[#This Row],[ Age]]&lt;=49,"30-49",IF(Table1[[#This Row],[ Age]]&lt;=59,"50-59","60 or more"))))</f>
        <v>30-49</v>
      </c>
      <c r="AC173" s="8">
        <f ca="1">IF(ISBLANK(Table1[[#This Row],[DateofTermination]]),DATEDIF(Table1[[#This Row],[DateofHire]],TODAY(), "M"),DATEDIF(Table1[[#This Row],[DateofHire]],Table1[[#This Row],[DateofTermination]],"M"))/12</f>
        <v>3.1666666666666665</v>
      </c>
      <c r="AD173" t="str">
        <f>IF(Table1[[#This Row],[EmpSatisfaction]]=1,"Very Dissatisfied", IF(Table1[[#This Row],[EmpSatisfaction]] = 2, "Dissatisfied", IF(Table1[[#This Row],[EmpSatisfaction]]  = 3, "Neutral", IF(Table1[[#This Row],[EmpSatisfaction]] = 4, "Satisfied", IF(Table1[[#This Row],[EmpSatisfaction]]=5,"Very Satisfied", " ")))))</f>
        <v>Satisfied</v>
      </c>
      <c r="AE173">
        <f>YEAR(Table1[[#This Row],[DateofHire]])</f>
        <v>2013</v>
      </c>
      <c r="AF173" t="s">
        <v>535</v>
      </c>
    </row>
    <row r="174" spans="1:32" x14ac:dyDescent="0.3">
      <c r="A174" t="s">
        <v>289</v>
      </c>
      <c r="B174">
        <v>10035</v>
      </c>
      <c r="C174" t="s">
        <v>475</v>
      </c>
      <c r="D174" t="s">
        <v>489</v>
      </c>
      <c r="E174">
        <v>10088</v>
      </c>
      <c r="F174" s="1">
        <v>41505</v>
      </c>
      <c r="G174" s="7">
        <v>73330</v>
      </c>
      <c r="H174" t="s">
        <v>499</v>
      </c>
      <c r="I174" s="1">
        <v>30038</v>
      </c>
      <c r="J174" t="s">
        <v>22</v>
      </c>
      <c r="K174" t="s">
        <v>23</v>
      </c>
      <c r="L174" t="s">
        <v>57</v>
      </c>
      <c r="M174" t="s">
        <v>21</v>
      </c>
      <c r="N174">
        <v>2324</v>
      </c>
      <c r="P174" t="s">
        <v>512</v>
      </c>
      <c r="Q174" t="s">
        <v>25</v>
      </c>
      <c r="R174" t="s">
        <v>35</v>
      </c>
      <c r="S174" t="s">
        <v>28</v>
      </c>
      <c r="T174">
        <v>4.2</v>
      </c>
      <c r="U174">
        <v>4</v>
      </c>
      <c r="V174" s="1">
        <v>43508</v>
      </c>
      <c r="W174">
        <v>19</v>
      </c>
      <c r="X174" t="str">
        <f>INDEX(Position!B:B,MATCH(Table1[[#This Row],[Position ID]],Position!A:A, 0 ))</f>
        <v>Production Technician II</v>
      </c>
      <c r="Y174" t="str">
        <f>INDEX(Department!B:B,MATCH(Table1[[#This Row],[Department ID]],Department!A:A,0))</f>
        <v>Production</v>
      </c>
      <c r="Z174" t="str">
        <f>INDEX(Manager!B:B,MATCH(Table1[[#This Row],[Manger ID]],Manager!A:A,0))</f>
        <v>Elijiah Gray</v>
      </c>
      <c r="AA174">
        <f ca="1">DATEDIF(Table1[[#This Row],[DOB]],TODAY(), "Y")</f>
        <v>42</v>
      </c>
      <c r="AB174" t="str">
        <f ca="1">IF(Table1[[#This Row],[ Age]]&lt;18,"Less than 18",IF(Table1[[#This Row],[ Age]]&lt;=29,"18-29",IF(Table1[[#This Row],[ Age]]&lt;=49,"30-49",IF(Table1[[#This Row],[ Age]]&lt;=59,"50-59","60 or more"))))</f>
        <v>30-49</v>
      </c>
      <c r="AC174" s="8">
        <f ca="1">IF(ISBLANK(Table1[[#This Row],[DateofTermination]]),DATEDIF(Table1[[#This Row],[DateofHire]],TODAY(), "M"),DATEDIF(Table1[[#This Row],[DateofHire]],Table1[[#This Row],[DateofTermination]],"M"))/12</f>
        <v>10.583333333333334</v>
      </c>
      <c r="AD174" t="str">
        <f>IF(Table1[[#This Row],[EmpSatisfaction]]=1,"Very Dissatisfied", IF(Table1[[#This Row],[EmpSatisfaction]] = 2, "Dissatisfied", IF(Table1[[#This Row],[EmpSatisfaction]]  = 3, "Neutral", IF(Table1[[#This Row],[EmpSatisfaction]] = 4, "Satisfied", IF(Table1[[#This Row],[EmpSatisfaction]]=5,"Very Satisfied", " ")))))</f>
        <v>Satisfied</v>
      </c>
      <c r="AE174">
        <f>YEAR(Table1[[#This Row],[DateofHire]])</f>
        <v>2013</v>
      </c>
      <c r="AF174" t="s">
        <v>25</v>
      </c>
    </row>
    <row r="175" spans="1:32" x14ac:dyDescent="0.3">
      <c r="A175" t="s">
        <v>290</v>
      </c>
      <c r="B175">
        <v>10057</v>
      </c>
      <c r="C175" t="s">
        <v>474</v>
      </c>
      <c r="D175" t="s">
        <v>489</v>
      </c>
      <c r="E175">
        <v>10088</v>
      </c>
      <c r="F175" s="1">
        <v>42051</v>
      </c>
      <c r="G175" s="7">
        <v>52057</v>
      </c>
      <c r="H175" t="s">
        <v>499</v>
      </c>
      <c r="I175" s="1">
        <v>27689</v>
      </c>
      <c r="J175" t="s">
        <v>31</v>
      </c>
      <c r="K175" t="s">
        <v>23</v>
      </c>
      <c r="L175" t="s">
        <v>57</v>
      </c>
      <c r="M175" t="s">
        <v>21</v>
      </c>
      <c r="N175">
        <v>2122</v>
      </c>
      <c r="P175" t="s">
        <v>512</v>
      </c>
      <c r="Q175" t="s">
        <v>25</v>
      </c>
      <c r="R175" t="s">
        <v>167</v>
      </c>
      <c r="S175" t="s">
        <v>36</v>
      </c>
      <c r="T175">
        <v>5</v>
      </c>
      <c r="U175">
        <v>3</v>
      </c>
      <c r="V175" s="1">
        <v>43488</v>
      </c>
      <c r="W175">
        <v>6</v>
      </c>
      <c r="X175" t="str">
        <f>INDEX(Position!B:B,MATCH(Table1[[#This Row],[Position ID]],Position!A:A, 0 ))</f>
        <v>Production Technician I</v>
      </c>
      <c r="Y175" t="str">
        <f>INDEX(Department!B:B,MATCH(Table1[[#This Row],[Department ID]],Department!A:A,0))</f>
        <v>Production</v>
      </c>
      <c r="Z175" t="str">
        <f>INDEX(Manager!B:B,MATCH(Table1[[#This Row],[Manger ID]],Manager!A:A,0))</f>
        <v>Elijiah Gray</v>
      </c>
      <c r="AA175">
        <f ca="1">DATEDIF(Table1[[#This Row],[DOB]],TODAY(), "Y")</f>
        <v>48</v>
      </c>
      <c r="AB175" t="str">
        <f ca="1">IF(Table1[[#This Row],[ Age]]&lt;18,"Less than 18",IF(Table1[[#This Row],[ Age]]&lt;=29,"18-29",IF(Table1[[#This Row],[ Age]]&lt;=49,"30-49",IF(Table1[[#This Row],[ Age]]&lt;=59,"50-59","60 or more"))))</f>
        <v>30-49</v>
      </c>
      <c r="AC175" s="8">
        <f ca="1">IF(ISBLANK(Table1[[#This Row],[DateofTermination]]),DATEDIF(Table1[[#This Row],[DateofHire]],TODAY(), "M"),DATEDIF(Table1[[#This Row],[DateofHire]],Table1[[#This Row],[DateofTermination]],"M"))/12</f>
        <v>9.0833333333333339</v>
      </c>
      <c r="AD175" t="str">
        <f>IF(Table1[[#This Row],[EmpSatisfaction]]=1,"Very Dissatisfied", IF(Table1[[#This Row],[EmpSatisfaction]] = 2, "Dissatisfied", IF(Table1[[#This Row],[EmpSatisfaction]]  = 3, "Neutral", IF(Table1[[#This Row],[EmpSatisfaction]] = 4, "Satisfied", IF(Table1[[#This Row],[EmpSatisfaction]]=5,"Very Satisfied", " ")))))</f>
        <v>Neutral</v>
      </c>
      <c r="AE175">
        <f>YEAR(Table1[[#This Row],[DateofHire]])</f>
        <v>2015</v>
      </c>
      <c r="AF175" t="s">
        <v>25</v>
      </c>
    </row>
    <row r="176" spans="1:32" hidden="1" x14ac:dyDescent="0.3">
      <c r="A176" t="s">
        <v>291</v>
      </c>
      <c r="B176">
        <v>10004</v>
      </c>
      <c r="C176" t="s">
        <v>474</v>
      </c>
      <c r="D176" t="s">
        <v>489</v>
      </c>
      <c r="E176">
        <v>10069</v>
      </c>
      <c r="F176" s="1">
        <v>40854</v>
      </c>
      <c r="G176" s="7">
        <v>47434</v>
      </c>
      <c r="H176" t="s">
        <v>499</v>
      </c>
      <c r="I176" s="1">
        <v>26709</v>
      </c>
      <c r="J176" t="s">
        <v>22</v>
      </c>
      <c r="K176" t="s">
        <v>23</v>
      </c>
      <c r="L176" t="s">
        <v>57</v>
      </c>
      <c r="M176" t="s">
        <v>21</v>
      </c>
      <c r="N176">
        <v>1844</v>
      </c>
      <c r="O176" s="1">
        <v>42322</v>
      </c>
      <c r="P176" t="s">
        <v>516</v>
      </c>
      <c r="Q176" t="s">
        <v>32</v>
      </c>
      <c r="R176" t="s">
        <v>59</v>
      </c>
      <c r="S176" t="s">
        <v>28</v>
      </c>
      <c r="T176">
        <v>5</v>
      </c>
      <c r="U176">
        <v>4</v>
      </c>
      <c r="V176" s="1">
        <v>42037</v>
      </c>
      <c r="W176">
        <v>17</v>
      </c>
      <c r="X176" t="str">
        <f>INDEX(Position!B:B,MATCH(Table1[[#This Row],[Position ID]],Position!A:A, 0 ))</f>
        <v>Production Technician I</v>
      </c>
      <c r="Y176" t="str">
        <f>INDEX(Department!B:B,MATCH(Table1[[#This Row],[Department ID]],Department!A:A,0))</f>
        <v>Production</v>
      </c>
      <c r="Z176" t="str">
        <f>INDEX(Manager!B:B,MATCH(Table1[[#This Row],[Manger ID]],Manager!A:A,0))</f>
        <v>Webster Butler</v>
      </c>
      <c r="AA176">
        <f ca="1">DATEDIF(Table1[[#This Row],[DOB]],TODAY(), "Y")</f>
        <v>51</v>
      </c>
      <c r="AB176" t="str">
        <f ca="1">IF(Table1[[#This Row],[ Age]]&lt;18,"Less than 18",IF(Table1[[#This Row],[ Age]]&lt;=29,"18-29",IF(Table1[[#This Row],[ Age]]&lt;=49,"30-49",IF(Table1[[#This Row],[ Age]]&lt;=59,"50-59","60 or more"))))</f>
        <v>50-59</v>
      </c>
      <c r="AC176" s="8">
        <f ca="1">IF(ISBLANK(Table1[[#This Row],[DateofTermination]]),DATEDIF(Table1[[#This Row],[DateofHire]],TODAY(), "M"),DATEDIF(Table1[[#This Row],[DateofHire]],Table1[[#This Row],[DateofTermination]],"M"))/12</f>
        <v>4</v>
      </c>
      <c r="AD176" t="str">
        <f>IF(Table1[[#This Row],[EmpSatisfaction]]=1,"Very Dissatisfied", IF(Table1[[#This Row],[EmpSatisfaction]] = 2, "Dissatisfied", IF(Table1[[#This Row],[EmpSatisfaction]]  = 3, "Neutral", IF(Table1[[#This Row],[EmpSatisfaction]] = 4, "Satisfied", IF(Table1[[#This Row],[EmpSatisfaction]]=5,"Very Satisfied", " ")))))</f>
        <v>Satisfied</v>
      </c>
      <c r="AE176">
        <f>YEAR(Table1[[#This Row],[DateofHire]])</f>
        <v>2011</v>
      </c>
      <c r="AF176" t="s">
        <v>535</v>
      </c>
    </row>
    <row r="177" spans="1:32" hidden="1" x14ac:dyDescent="0.3">
      <c r="A177" t="s">
        <v>292</v>
      </c>
      <c r="B177">
        <v>10191</v>
      </c>
      <c r="C177" t="s">
        <v>474</v>
      </c>
      <c r="D177" t="s">
        <v>489</v>
      </c>
      <c r="E177">
        <v>10002</v>
      </c>
      <c r="F177" s="1">
        <v>41176</v>
      </c>
      <c r="G177" s="7">
        <v>52788</v>
      </c>
      <c r="H177" t="s">
        <v>498</v>
      </c>
      <c r="I177" s="1">
        <v>26612</v>
      </c>
      <c r="J177" t="s">
        <v>53</v>
      </c>
      <c r="K177" t="s">
        <v>23</v>
      </c>
      <c r="L177" t="s">
        <v>24</v>
      </c>
      <c r="M177" t="s">
        <v>21</v>
      </c>
      <c r="N177">
        <v>1938</v>
      </c>
      <c r="O177" s="1">
        <v>43004</v>
      </c>
      <c r="P177" t="s">
        <v>514</v>
      </c>
      <c r="Q177" t="s">
        <v>32</v>
      </c>
      <c r="R177" t="s">
        <v>35</v>
      </c>
      <c r="S177" t="s">
        <v>36</v>
      </c>
      <c r="T177">
        <v>3.08</v>
      </c>
      <c r="U177">
        <v>4</v>
      </c>
      <c r="V177" s="1">
        <v>42826</v>
      </c>
      <c r="W177">
        <v>18</v>
      </c>
      <c r="X177" t="str">
        <f>INDEX(Position!B:B,MATCH(Table1[[#This Row],[Position ID]],Position!A:A, 0 ))</f>
        <v>Production Technician I</v>
      </c>
      <c r="Y177" t="str">
        <f>INDEX(Department!B:B,MATCH(Table1[[#This Row],[Department ID]],Department!A:A,0))</f>
        <v>Production</v>
      </c>
      <c r="Z177" t="str">
        <f>INDEX(Manager!B:B,MATCH(Table1[[#This Row],[Manger ID]],Manager!A:A,0))</f>
        <v>Amy Dunn</v>
      </c>
      <c r="AA177">
        <f ca="1">DATEDIF(Table1[[#This Row],[DOB]],TODAY(), "Y")</f>
        <v>51</v>
      </c>
      <c r="AB177" t="str">
        <f ca="1">IF(Table1[[#This Row],[ Age]]&lt;18,"Less than 18",IF(Table1[[#This Row],[ Age]]&lt;=29,"18-29",IF(Table1[[#This Row],[ Age]]&lt;=49,"30-49",IF(Table1[[#This Row],[ Age]]&lt;=59,"50-59","60 or more"))))</f>
        <v>50-59</v>
      </c>
      <c r="AC177" s="8">
        <f ca="1">IF(ISBLANK(Table1[[#This Row],[DateofTermination]]),DATEDIF(Table1[[#This Row],[DateofHire]],TODAY(), "M"),DATEDIF(Table1[[#This Row],[DateofHire]],Table1[[#This Row],[DateofTermination]],"M"))/12</f>
        <v>5</v>
      </c>
      <c r="AD177" t="str">
        <f>IF(Table1[[#This Row],[EmpSatisfaction]]=1,"Very Dissatisfied", IF(Table1[[#This Row],[EmpSatisfaction]] = 2, "Dissatisfied", IF(Table1[[#This Row],[EmpSatisfaction]]  = 3, "Neutral", IF(Table1[[#This Row],[EmpSatisfaction]] = 4, "Satisfied", IF(Table1[[#This Row],[EmpSatisfaction]]=5,"Very Satisfied", " ")))))</f>
        <v>Satisfied</v>
      </c>
      <c r="AE177">
        <f>YEAR(Table1[[#This Row],[DateofHire]])</f>
        <v>2012</v>
      </c>
      <c r="AF177" t="s">
        <v>535</v>
      </c>
    </row>
    <row r="178" spans="1:32" x14ac:dyDescent="0.3">
      <c r="A178" t="s">
        <v>293</v>
      </c>
      <c r="B178">
        <v>10219</v>
      </c>
      <c r="C178" t="s">
        <v>474</v>
      </c>
      <c r="D178" t="s">
        <v>489</v>
      </c>
      <c r="E178">
        <v>10062</v>
      </c>
      <c r="F178" s="1">
        <v>41645</v>
      </c>
      <c r="G178" s="7">
        <v>45395</v>
      </c>
      <c r="H178" t="s">
        <v>499</v>
      </c>
      <c r="I178" s="1">
        <v>31600</v>
      </c>
      <c r="J178" t="s">
        <v>22</v>
      </c>
      <c r="K178" t="s">
        <v>23</v>
      </c>
      <c r="L178" t="s">
        <v>24</v>
      </c>
      <c r="M178" t="s">
        <v>21</v>
      </c>
      <c r="N178">
        <v>2189</v>
      </c>
      <c r="P178" t="s">
        <v>512</v>
      </c>
      <c r="Q178" t="s">
        <v>25</v>
      </c>
      <c r="R178" t="s">
        <v>27</v>
      </c>
      <c r="S178" t="s">
        <v>36</v>
      </c>
      <c r="T178">
        <v>4.5999999999999996</v>
      </c>
      <c r="U178">
        <v>4</v>
      </c>
      <c r="V178" s="1">
        <v>43522</v>
      </c>
      <c r="W178">
        <v>14</v>
      </c>
      <c r="X178" t="str">
        <f>INDEX(Position!B:B,MATCH(Table1[[#This Row],[Position ID]],Position!A:A, 0 ))</f>
        <v>Production Technician I</v>
      </c>
      <c r="Y178" t="str">
        <f>INDEX(Department!B:B,MATCH(Table1[[#This Row],[Department ID]],Department!A:A,0))</f>
        <v>Production</v>
      </c>
      <c r="Z178" t="str">
        <f>INDEX(Manager!B:B,MATCH(Table1[[#This Row],[Manger ID]],Manager!A:A,0))</f>
        <v>Ketsia Liebig</v>
      </c>
      <c r="AA178">
        <f ca="1">DATEDIF(Table1[[#This Row],[DOB]],TODAY(), "Y")</f>
        <v>37</v>
      </c>
      <c r="AB178" t="str">
        <f ca="1">IF(Table1[[#This Row],[ Age]]&lt;18,"Less than 18",IF(Table1[[#This Row],[ Age]]&lt;=29,"18-29",IF(Table1[[#This Row],[ Age]]&lt;=49,"30-49",IF(Table1[[#This Row],[ Age]]&lt;=59,"50-59","60 or more"))))</f>
        <v>30-49</v>
      </c>
      <c r="AC178" s="8">
        <f ca="1">IF(ISBLANK(Table1[[#This Row],[DateofTermination]]),DATEDIF(Table1[[#This Row],[DateofHire]],TODAY(), "M"),DATEDIF(Table1[[#This Row],[DateofHire]],Table1[[#This Row],[DateofTermination]],"M"))/12</f>
        <v>10.25</v>
      </c>
      <c r="AD178" t="str">
        <f>IF(Table1[[#This Row],[EmpSatisfaction]]=1,"Very Dissatisfied", IF(Table1[[#This Row],[EmpSatisfaction]] = 2, "Dissatisfied", IF(Table1[[#This Row],[EmpSatisfaction]]  = 3, "Neutral", IF(Table1[[#This Row],[EmpSatisfaction]] = 4, "Satisfied", IF(Table1[[#This Row],[EmpSatisfaction]]=5,"Very Satisfied", " ")))))</f>
        <v>Satisfied</v>
      </c>
      <c r="AE178">
        <f>YEAR(Table1[[#This Row],[DateofHire]])</f>
        <v>2014</v>
      </c>
      <c r="AF178" t="s">
        <v>25</v>
      </c>
    </row>
    <row r="179" spans="1:32" x14ac:dyDescent="0.3">
      <c r="A179" t="s">
        <v>294</v>
      </c>
      <c r="B179">
        <v>10077</v>
      </c>
      <c r="C179" t="s">
        <v>475</v>
      </c>
      <c r="D179" t="s">
        <v>489</v>
      </c>
      <c r="E179">
        <v>10069</v>
      </c>
      <c r="F179" s="1">
        <v>42501</v>
      </c>
      <c r="G179" s="7">
        <v>62385</v>
      </c>
      <c r="H179" t="s">
        <v>499</v>
      </c>
      <c r="I179" s="1">
        <v>27997</v>
      </c>
      <c r="J179" t="s">
        <v>31</v>
      </c>
      <c r="K179" t="s">
        <v>23</v>
      </c>
      <c r="L179" t="s">
        <v>24</v>
      </c>
      <c r="M179" t="s">
        <v>21</v>
      </c>
      <c r="N179">
        <v>2324</v>
      </c>
      <c r="P179" t="s">
        <v>512</v>
      </c>
      <c r="Q179" t="s">
        <v>25</v>
      </c>
      <c r="R179" t="s">
        <v>27</v>
      </c>
      <c r="S179" t="s">
        <v>36</v>
      </c>
      <c r="T179">
        <v>5</v>
      </c>
      <c r="U179">
        <v>3</v>
      </c>
      <c r="V179" s="1">
        <v>43486</v>
      </c>
      <c r="W179">
        <v>4</v>
      </c>
      <c r="X179" t="str">
        <f>INDEX(Position!B:B,MATCH(Table1[[#This Row],[Position ID]],Position!A:A, 0 ))</f>
        <v>Production Technician II</v>
      </c>
      <c r="Y179" t="str">
        <f>INDEX(Department!B:B,MATCH(Table1[[#This Row],[Department ID]],Department!A:A,0))</f>
        <v>Production</v>
      </c>
      <c r="Z179" t="str">
        <f>INDEX(Manager!B:B,MATCH(Table1[[#This Row],[Manger ID]],Manager!A:A,0))</f>
        <v>Webster Butler</v>
      </c>
      <c r="AA179">
        <f ca="1">DATEDIF(Table1[[#This Row],[DOB]],TODAY(), "Y")</f>
        <v>47</v>
      </c>
      <c r="AB179" t="str">
        <f ca="1">IF(Table1[[#This Row],[ Age]]&lt;18,"Less than 18",IF(Table1[[#This Row],[ Age]]&lt;=29,"18-29",IF(Table1[[#This Row],[ Age]]&lt;=49,"30-49",IF(Table1[[#This Row],[ Age]]&lt;=59,"50-59","60 or more"))))</f>
        <v>30-49</v>
      </c>
      <c r="AC179" s="8">
        <f ca="1">IF(ISBLANK(Table1[[#This Row],[DateofTermination]]),DATEDIF(Table1[[#This Row],[DateofHire]],TODAY(), "M"),DATEDIF(Table1[[#This Row],[DateofHire]],Table1[[#This Row],[DateofTermination]],"M"))/12</f>
        <v>7.833333333333333</v>
      </c>
      <c r="AD179" t="str">
        <f>IF(Table1[[#This Row],[EmpSatisfaction]]=1,"Very Dissatisfied", IF(Table1[[#This Row],[EmpSatisfaction]] = 2, "Dissatisfied", IF(Table1[[#This Row],[EmpSatisfaction]]  = 3, "Neutral", IF(Table1[[#This Row],[EmpSatisfaction]] = 4, "Satisfied", IF(Table1[[#This Row],[EmpSatisfaction]]=5,"Very Satisfied", " ")))))</f>
        <v>Neutral</v>
      </c>
      <c r="AE179">
        <f>YEAR(Table1[[#This Row],[DateofHire]])</f>
        <v>2016</v>
      </c>
      <c r="AF179" t="s">
        <v>25</v>
      </c>
    </row>
    <row r="180" spans="1:32" hidden="1" x14ac:dyDescent="0.3">
      <c r="A180" t="s">
        <v>295</v>
      </c>
      <c r="B180">
        <v>10073</v>
      </c>
      <c r="C180" t="s">
        <v>475</v>
      </c>
      <c r="D180" t="s">
        <v>489</v>
      </c>
      <c r="E180">
        <v>10002</v>
      </c>
      <c r="F180" s="1">
        <v>40729</v>
      </c>
      <c r="G180" s="7">
        <v>68407</v>
      </c>
      <c r="H180" t="s">
        <v>499</v>
      </c>
      <c r="I180" s="1">
        <v>31756</v>
      </c>
      <c r="J180" t="s">
        <v>31</v>
      </c>
      <c r="K180" t="s">
        <v>23</v>
      </c>
      <c r="L180" t="s">
        <v>70</v>
      </c>
      <c r="M180" t="s">
        <v>21</v>
      </c>
      <c r="N180">
        <v>2176</v>
      </c>
      <c r="O180" s="1">
        <v>41140</v>
      </c>
      <c r="P180" t="s">
        <v>516</v>
      </c>
      <c r="Q180" t="s">
        <v>32</v>
      </c>
      <c r="R180" t="s">
        <v>27</v>
      </c>
      <c r="S180" t="s">
        <v>36</v>
      </c>
      <c r="T180">
        <v>5</v>
      </c>
      <c r="U180">
        <v>4</v>
      </c>
      <c r="V180" s="1">
        <v>41092</v>
      </c>
      <c r="W180">
        <v>16</v>
      </c>
      <c r="X180" t="str">
        <f>INDEX(Position!B:B,MATCH(Table1[[#This Row],[Position ID]],Position!A:A, 0 ))</f>
        <v>Production Technician II</v>
      </c>
      <c r="Y180" t="str">
        <f>INDEX(Department!B:B,MATCH(Table1[[#This Row],[Department ID]],Department!A:A,0))</f>
        <v>Production</v>
      </c>
      <c r="Z180" t="str">
        <f>INDEX(Manager!B:B,MATCH(Table1[[#This Row],[Manger ID]],Manager!A:A,0))</f>
        <v>Amy Dunn</v>
      </c>
      <c r="AA180">
        <f ca="1">DATEDIF(Table1[[#This Row],[DOB]],TODAY(), "Y")</f>
        <v>37</v>
      </c>
      <c r="AB180" t="str">
        <f ca="1">IF(Table1[[#This Row],[ Age]]&lt;18,"Less than 18",IF(Table1[[#This Row],[ Age]]&lt;=29,"18-29",IF(Table1[[#This Row],[ Age]]&lt;=49,"30-49",IF(Table1[[#This Row],[ Age]]&lt;=59,"50-59","60 or more"))))</f>
        <v>30-49</v>
      </c>
      <c r="AC180" s="8">
        <f ca="1">IF(ISBLANK(Table1[[#This Row],[DateofTermination]]),DATEDIF(Table1[[#This Row],[DateofHire]],TODAY(), "M"),DATEDIF(Table1[[#This Row],[DateofHire]],Table1[[#This Row],[DateofTermination]],"M"))/12</f>
        <v>1.0833333333333333</v>
      </c>
      <c r="AD180" t="str">
        <f>IF(Table1[[#This Row],[EmpSatisfaction]]=1,"Very Dissatisfied", IF(Table1[[#This Row],[EmpSatisfaction]] = 2, "Dissatisfied", IF(Table1[[#This Row],[EmpSatisfaction]]  = 3, "Neutral", IF(Table1[[#This Row],[EmpSatisfaction]] = 4, "Satisfied", IF(Table1[[#This Row],[EmpSatisfaction]]=5,"Very Satisfied", " ")))))</f>
        <v>Satisfied</v>
      </c>
      <c r="AE180">
        <f>YEAR(Table1[[#This Row],[DateofHire]])</f>
        <v>2011</v>
      </c>
      <c r="AF180" t="s">
        <v>535</v>
      </c>
    </row>
    <row r="181" spans="1:32" x14ac:dyDescent="0.3">
      <c r="A181" t="s">
        <v>296</v>
      </c>
      <c r="B181">
        <v>10279</v>
      </c>
      <c r="C181" t="s">
        <v>474</v>
      </c>
      <c r="D181" t="s">
        <v>489</v>
      </c>
      <c r="E181">
        <v>10114</v>
      </c>
      <c r="F181" s="1">
        <v>41589</v>
      </c>
      <c r="G181" s="7">
        <v>61349</v>
      </c>
      <c r="H181" t="s">
        <v>499</v>
      </c>
      <c r="I181" s="1">
        <v>27340</v>
      </c>
      <c r="J181" t="s">
        <v>31</v>
      </c>
      <c r="K181" t="s">
        <v>23</v>
      </c>
      <c r="L181" t="s">
        <v>24</v>
      </c>
      <c r="M181" t="s">
        <v>21</v>
      </c>
      <c r="N181">
        <v>2451</v>
      </c>
      <c r="P181" t="s">
        <v>512</v>
      </c>
      <c r="Q181" t="s">
        <v>25</v>
      </c>
      <c r="R181" t="s">
        <v>27</v>
      </c>
      <c r="S181" t="s">
        <v>36</v>
      </c>
      <c r="T181">
        <v>4.0999999999999996</v>
      </c>
      <c r="U181">
        <v>3</v>
      </c>
      <c r="V181" s="1">
        <v>43487</v>
      </c>
      <c r="W181">
        <v>11</v>
      </c>
      <c r="X181" t="str">
        <f>INDEX(Position!B:B,MATCH(Table1[[#This Row],[Position ID]],Position!A:A, 0 ))</f>
        <v>Production Technician I</v>
      </c>
      <c r="Y181" t="str">
        <f>INDEX(Department!B:B,MATCH(Table1[[#This Row],[Department ID]],Department!A:A,0))</f>
        <v>Production</v>
      </c>
      <c r="Z181" t="str">
        <f>INDEX(Manager!B:B,MATCH(Table1[[#This Row],[Manger ID]],Manager!A:A,0))</f>
        <v>Brannon Miller</v>
      </c>
      <c r="AA181">
        <f ca="1">DATEDIF(Table1[[#This Row],[DOB]],TODAY(), "Y")</f>
        <v>49</v>
      </c>
      <c r="AB181" t="str">
        <f ca="1">IF(Table1[[#This Row],[ Age]]&lt;18,"Less than 18",IF(Table1[[#This Row],[ Age]]&lt;=29,"18-29",IF(Table1[[#This Row],[ Age]]&lt;=49,"30-49",IF(Table1[[#This Row],[ Age]]&lt;=59,"50-59","60 or more"))))</f>
        <v>30-49</v>
      </c>
      <c r="AC181" s="8">
        <f ca="1">IF(ISBLANK(Table1[[#This Row],[DateofTermination]]),DATEDIF(Table1[[#This Row],[DateofHire]],TODAY(), "M"),DATEDIF(Table1[[#This Row],[DateofHire]],Table1[[#This Row],[DateofTermination]],"M"))/12</f>
        <v>10.333333333333334</v>
      </c>
      <c r="AD181" t="str">
        <f>IF(Table1[[#This Row],[EmpSatisfaction]]=1,"Very Dissatisfied", IF(Table1[[#This Row],[EmpSatisfaction]] = 2, "Dissatisfied", IF(Table1[[#This Row],[EmpSatisfaction]]  = 3, "Neutral", IF(Table1[[#This Row],[EmpSatisfaction]] = 4, "Satisfied", IF(Table1[[#This Row],[EmpSatisfaction]]=5,"Very Satisfied", " ")))))</f>
        <v>Neutral</v>
      </c>
      <c r="AE181">
        <f>YEAR(Table1[[#This Row],[DateofHire]])</f>
        <v>2013</v>
      </c>
      <c r="AF181" t="s">
        <v>25</v>
      </c>
    </row>
    <row r="182" spans="1:32" x14ac:dyDescent="0.3">
      <c r="A182" t="s">
        <v>297</v>
      </c>
      <c r="B182">
        <v>10110</v>
      </c>
      <c r="C182" t="s">
        <v>479</v>
      </c>
      <c r="D182" t="s">
        <v>491</v>
      </c>
      <c r="E182">
        <v>10194</v>
      </c>
      <c r="F182" s="1">
        <v>41589</v>
      </c>
      <c r="G182" s="7">
        <v>105688</v>
      </c>
      <c r="H182" t="s">
        <v>499</v>
      </c>
      <c r="I182" s="1">
        <v>32088</v>
      </c>
      <c r="J182" t="s">
        <v>22</v>
      </c>
      <c r="K182" t="s">
        <v>23</v>
      </c>
      <c r="L182" t="s">
        <v>82</v>
      </c>
      <c r="M182" t="s">
        <v>21</v>
      </c>
      <c r="N182">
        <v>2135</v>
      </c>
      <c r="P182" t="s">
        <v>512</v>
      </c>
      <c r="Q182" t="s">
        <v>25</v>
      </c>
      <c r="R182" t="s">
        <v>45</v>
      </c>
      <c r="S182" t="s">
        <v>36</v>
      </c>
      <c r="T182">
        <v>4.5</v>
      </c>
      <c r="U182">
        <v>5</v>
      </c>
      <c r="V182" s="1">
        <v>43479</v>
      </c>
      <c r="W182">
        <v>14</v>
      </c>
      <c r="X182" t="str">
        <f>INDEX(Position!B:B,MATCH(Table1[[#This Row],[Position ID]],Position!A:A, 0 ))</f>
        <v>Software Engineer</v>
      </c>
      <c r="Y182" t="str">
        <f>INDEX(Department!B:B,MATCH(Table1[[#This Row],[Department ID]],Department!A:A,0))</f>
        <v>Software Engineering</v>
      </c>
      <c r="Z182" t="str">
        <f>INDEX(Manager!B:B,MATCH(Table1[[#This Row],[Manger ID]],Manager!A:A,0))</f>
        <v>Alex Sweetwater</v>
      </c>
      <c r="AA182">
        <f ca="1">DATEDIF(Table1[[#This Row],[DOB]],TODAY(), "Y")</f>
        <v>36</v>
      </c>
      <c r="AB182" t="str">
        <f ca="1">IF(Table1[[#This Row],[ Age]]&lt;18,"Less than 18",IF(Table1[[#This Row],[ Age]]&lt;=29,"18-29",IF(Table1[[#This Row],[ Age]]&lt;=49,"30-49",IF(Table1[[#This Row],[ Age]]&lt;=59,"50-59","60 or more"))))</f>
        <v>30-49</v>
      </c>
      <c r="AC182" s="8">
        <f ca="1">IF(ISBLANK(Table1[[#This Row],[DateofTermination]]),DATEDIF(Table1[[#This Row],[DateofHire]],TODAY(), "M"),DATEDIF(Table1[[#This Row],[DateofHire]],Table1[[#This Row],[DateofTermination]],"M"))/12</f>
        <v>10.333333333333334</v>
      </c>
      <c r="AD182" t="str">
        <f>IF(Table1[[#This Row],[EmpSatisfaction]]=1,"Very Dissatisfied", IF(Table1[[#This Row],[EmpSatisfaction]] = 2, "Dissatisfied", IF(Table1[[#This Row],[EmpSatisfaction]]  = 3, "Neutral", IF(Table1[[#This Row],[EmpSatisfaction]] = 4, "Satisfied", IF(Table1[[#This Row],[EmpSatisfaction]]=5,"Very Satisfied", " ")))))</f>
        <v>Very Satisfied</v>
      </c>
      <c r="AE182">
        <f>YEAR(Table1[[#This Row],[DateofHire]])</f>
        <v>2013</v>
      </c>
      <c r="AF182" t="s">
        <v>25</v>
      </c>
    </row>
    <row r="183" spans="1:32" x14ac:dyDescent="0.3">
      <c r="A183" t="s">
        <v>298</v>
      </c>
      <c r="B183">
        <v>10053</v>
      </c>
      <c r="C183" t="s">
        <v>474</v>
      </c>
      <c r="D183" t="s">
        <v>489</v>
      </c>
      <c r="E183">
        <v>10252</v>
      </c>
      <c r="F183" s="1">
        <v>40694</v>
      </c>
      <c r="G183" s="7">
        <v>54132</v>
      </c>
      <c r="H183" t="s">
        <v>499</v>
      </c>
      <c r="I183" s="1">
        <v>28451</v>
      </c>
      <c r="J183" t="s">
        <v>31</v>
      </c>
      <c r="K183" t="s">
        <v>23</v>
      </c>
      <c r="L183" t="s">
        <v>24</v>
      </c>
      <c r="M183" t="s">
        <v>21</v>
      </c>
      <c r="N183">
        <v>2330</v>
      </c>
      <c r="P183" t="s">
        <v>512</v>
      </c>
      <c r="Q183" t="s">
        <v>25</v>
      </c>
      <c r="R183" t="s">
        <v>35</v>
      </c>
      <c r="S183" t="s">
        <v>36</v>
      </c>
      <c r="T183">
        <v>5</v>
      </c>
      <c r="U183">
        <v>4</v>
      </c>
      <c r="V183" s="1">
        <v>43475</v>
      </c>
      <c r="W183">
        <v>8</v>
      </c>
      <c r="X183" t="str">
        <f>INDEX(Position!B:B,MATCH(Table1[[#This Row],[Position ID]],Position!A:A, 0 ))</f>
        <v>Production Technician I</v>
      </c>
      <c r="Y183" t="str">
        <f>INDEX(Department!B:B,MATCH(Table1[[#This Row],[Department ID]],Department!A:A,0))</f>
        <v>Production</v>
      </c>
      <c r="Z183" t="str">
        <f>INDEX(Manager!B:B,MATCH(Table1[[#This Row],[Manger ID]],Manager!A:A,0))</f>
        <v>David Stanley</v>
      </c>
      <c r="AA183">
        <f ca="1">DATEDIF(Table1[[#This Row],[DOB]],TODAY(), "Y")</f>
        <v>46</v>
      </c>
      <c r="AB183" t="str">
        <f ca="1">IF(Table1[[#This Row],[ Age]]&lt;18,"Less than 18",IF(Table1[[#This Row],[ Age]]&lt;=29,"18-29",IF(Table1[[#This Row],[ Age]]&lt;=49,"30-49",IF(Table1[[#This Row],[ Age]]&lt;=59,"50-59","60 or more"))))</f>
        <v>30-49</v>
      </c>
      <c r="AC183" s="8">
        <f ca="1">IF(ISBLANK(Table1[[#This Row],[DateofTermination]]),DATEDIF(Table1[[#This Row],[DateofHire]],TODAY(), "M"),DATEDIF(Table1[[#This Row],[DateofHire]],Table1[[#This Row],[DateofTermination]],"M"))/12</f>
        <v>12.833333333333334</v>
      </c>
      <c r="AD183" t="str">
        <f>IF(Table1[[#This Row],[EmpSatisfaction]]=1,"Very Dissatisfied", IF(Table1[[#This Row],[EmpSatisfaction]] = 2, "Dissatisfied", IF(Table1[[#This Row],[EmpSatisfaction]]  = 3, "Neutral", IF(Table1[[#This Row],[EmpSatisfaction]] = 4, "Satisfied", IF(Table1[[#This Row],[EmpSatisfaction]]=5,"Very Satisfied", " ")))))</f>
        <v>Satisfied</v>
      </c>
      <c r="AE183">
        <f>YEAR(Table1[[#This Row],[DateofHire]])</f>
        <v>2011</v>
      </c>
      <c r="AF183" t="s">
        <v>25</v>
      </c>
    </row>
    <row r="184" spans="1:32" x14ac:dyDescent="0.3">
      <c r="A184" t="s">
        <v>299</v>
      </c>
      <c r="B184">
        <v>10076</v>
      </c>
      <c r="C184" t="s">
        <v>475</v>
      </c>
      <c r="D184" t="s">
        <v>489</v>
      </c>
      <c r="E184">
        <v>10062</v>
      </c>
      <c r="F184" s="1">
        <v>42093</v>
      </c>
      <c r="G184" s="7">
        <v>55315</v>
      </c>
      <c r="H184" t="s">
        <v>499</v>
      </c>
      <c r="I184" s="1">
        <v>31918</v>
      </c>
      <c r="J184" t="s">
        <v>22</v>
      </c>
      <c r="K184" t="s">
        <v>23</v>
      </c>
      <c r="L184" t="s">
        <v>57</v>
      </c>
      <c r="M184" t="s">
        <v>21</v>
      </c>
      <c r="N184">
        <v>2149</v>
      </c>
      <c r="P184" t="s">
        <v>512</v>
      </c>
      <c r="Q184" t="s">
        <v>25</v>
      </c>
      <c r="R184" t="s">
        <v>27</v>
      </c>
      <c r="S184" t="s">
        <v>36</v>
      </c>
      <c r="T184">
        <v>5</v>
      </c>
      <c r="U184">
        <v>5</v>
      </c>
      <c r="V184" s="1">
        <v>43503</v>
      </c>
      <c r="W184">
        <v>16</v>
      </c>
      <c r="X184" t="str">
        <f>INDEX(Position!B:B,MATCH(Table1[[#This Row],[Position ID]],Position!A:A, 0 ))</f>
        <v>Production Technician II</v>
      </c>
      <c r="Y184" t="str">
        <f>INDEX(Department!B:B,MATCH(Table1[[#This Row],[Department ID]],Department!A:A,0))</f>
        <v>Production</v>
      </c>
      <c r="Z184" t="str">
        <f>INDEX(Manager!B:B,MATCH(Table1[[#This Row],[Manger ID]],Manager!A:A,0))</f>
        <v>Ketsia Liebig</v>
      </c>
      <c r="AA184">
        <f ca="1">DATEDIF(Table1[[#This Row],[DOB]],TODAY(), "Y")</f>
        <v>36</v>
      </c>
      <c r="AB184" t="str">
        <f ca="1">IF(Table1[[#This Row],[ Age]]&lt;18,"Less than 18",IF(Table1[[#This Row],[ Age]]&lt;=29,"18-29",IF(Table1[[#This Row],[ Age]]&lt;=49,"30-49",IF(Table1[[#This Row],[ Age]]&lt;=59,"50-59","60 or more"))))</f>
        <v>30-49</v>
      </c>
      <c r="AC184" s="8">
        <f ca="1">IF(ISBLANK(Table1[[#This Row],[DateofTermination]]),DATEDIF(Table1[[#This Row],[DateofHire]],TODAY(), "M"),DATEDIF(Table1[[#This Row],[DateofHire]],Table1[[#This Row],[DateofTermination]],"M"))/12</f>
        <v>9</v>
      </c>
      <c r="AD184" t="str">
        <f>IF(Table1[[#This Row],[EmpSatisfaction]]=1,"Very Dissatisfied", IF(Table1[[#This Row],[EmpSatisfaction]] = 2, "Dissatisfied", IF(Table1[[#This Row],[EmpSatisfaction]]  = 3, "Neutral", IF(Table1[[#This Row],[EmpSatisfaction]] = 4, "Satisfied", IF(Table1[[#This Row],[EmpSatisfaction]]=5,"Very Satisfied", " ")))))</f>
        <v>Very Satisfied</v>
      </c>
      <c r="AE184">
        <f>YEAR(Table1[[#This Row],[DateofHire]])</f>
        <v>2015</v>
      </c>
      <c r="AF184" t="s">
        <v>25</v>
      </c>
    </row>
    <row r="185" spans="1:32" x14ac:dyDescent="0.3">
      <c r="A185" t="s">
        <v>300</v>
      </c>
      <c r="B185">
        <v>10145</v>
      </c>
      <c r="C185" t="s">
        <v>474</v>
      </c>
      <c r="D185" t="s">
        <v>489</v>
      </c>
      <c r="E185">
        <v>10196</v>
      </c>
      <c r="F185" s="1">
        <v>41281</v>
      </c>
      <c r="G185" s="7">
        <v>62810</v>
      </c>
      <c r="H185" t="s">
        <v>499</v>
      </c>
      <c r="I185" s="1">
        <v>31784</v>
      </c>
      <c r="J185" t="s">
        <v>31</v>
      </c>
      <c r="K185" t="s">
        <v>23</v>
      </c>
      <c r="L185" t="s">
        <v>57</v>
      </c>
      <c r="M185" t="s">
        <v>21</v>
      </c>
      <c r="N185">
        <v>2184</v>
      </c>
      <c r="P185" t="s">
        <v>512</v>
      </c>
      <c r="Q185" t="s">
        <v>25</v>
      </c>
      <c r="R185" t="s">
        <v>87</v>
      </c>
      <c r="S185" t="s">
        <v>36</v>
      </c>
      <c r="T185">
        <v>3.93</v>
      </c>
      <c r="U185">
        <v>3</v>
      </c>
      <c r="V185" s="1">
        <v>43495</v>
      </c>
      <c r="W185">
        <v>20</v>
      </c>
      <c r="X185" t="str">
        <f>INDEX(Position!B:B,MATCH(Table1[[#This Row],[Position ID]],Position!A:A, 0 ))</f>
        <v>Production Technician I</v>
      </c>
      <c r="Y185" t="str">
        <f>INDEX(Department!B:B,MATCH(Table1[[#This Row],[Department ID]],Department!A:A,0))</f>
        <v>Production</v>
      </c>
      <c r="Z185" t="str">
        <f>INDEX(Manager!B:B,MATCH(Table1[[#This Row],[Manger ID]],Manager!A:A,0))</f>
        <v>Kissy Sullivan</v>
      </c>
      <c r="AA185">
        <f ca="1">DATEDIF(Table1[[#This Row],[DOB]],TODAY(), "Y")</f>
        <v>37</v>
      </c>
      <c r="AB185" t="str">
        <f ca="1">IF(Table1[[#This Row],[ Age]]&lt;18,"Less than 18",IF(Table1[[#This Row],[ Age]]&lt;=29,"18-29",IF(Table1[[#This Row],[ Age]]&lt;=49,"30-49",IF(Table1[[#This Row],[ Age]]&lt;=59,"50-59","60 or more"))))</f>
        <v>30-49</v>
      </c>
      <c r="AC185" s="8">
        <f ca="1">IF(ISBLANK(Table1[[#This Row],[DateofTermination]]),DATEDIF(Table1[[#This Row],[DateofHire]],TODAY(), "M"),DATEDIF(Table1[[#This Row],[DateofHire]],Table1[[#This Row],[DateofTermination]],"M"))/12</f>
        <v>11.25</v>
      </c>
      <c r="AD185" t="str">
        <f>IF(Table1[[#This Row],[EmpSatisfaction]]=1,"Very Dissatisfied", IF(Table1[[#This Row],[EmpSatisfaction]] = 2, "Dissatisfied", IF(Table1[[#This Row],[EmpSatisfaction]]  = 3, "Neutral", IF(Table1[[#This Row],[EmpSatisfaction]] = 4, "Satisfied", IF(Table1[[#This Row],[EmpSatisfaction]]=5,"Very Satisfied", " ")))))</f>
        <v>Neutral</v>
      </c>
      <c r="AE185">
        <f>YEAR(Table1[[#This Row],[DateofHire]])</f>
        <v>2013</v>
      </c>
      <c r="AF185" t="s">
        <v>25</v>
      </c>
    </row>
    <row r="186" spans="1:32" x14ac:dyDescent="0.3">
      <c r="A186" t="s">
        <v>301</v>
      </c>
      <c r="B186">
        <v>10202</v>
      </c>
      <c r="C186" t="s">
        <v>454</v>
      </c>
      <c r="D186" t="s">
        <v>490</v>
      </c>
      <c r="E186">
        <v>10200</v>
      </c>
      <c r="F186" s="1">
        <v>42557</v>
      </c>
      <c r="G186" s="7">
        <v>63291</v>
      </c>
      <c r="H186" t="s">
        <v>498</v>
      </c>
      <c r="I186" s="1">
        <v>30864</v>
      </c>
      <c r="J186" t="s">
        <v>31</v>
      </c>
      <c r="K186" t="s">
        <v>23</v>
      </c>
      <c r="L186" t="s">
        <v>70</v>
      </c>
      <c r="M186" t="s">
        <v>68</v>
      </c>
      <c r="N186">
        <v>78789</v>
      </c>
      <c r="P186" t="s">
        <v>512</v>
      </c>
      <c r="Q186" t="s">
        <v>25</v>
      </c>
      <c r="R186" t="s">
        <v>167</v>
      </c>
      <c r="S186" t="s">
        <v>36</v>
      </c>
      <c r="T186">
        <v>3.4</v>
      </c>
      <c r="U186">
        <v>4</v>
      </c>
      <c r="V186" s="1">
        <v>43494</v>
      </c>
      <c r="W186">
        <v>7</v>
      </c>
      <c r="X186" t="str">
        <f>INDEX(Position!B:B,MATCH(Table1[[#This Row],[Position ID]],Position!A:A, 0 ))</f>
        <v>Area Sales Manager</v>
      </c>
      <c r="Y186" t="str">
        <f>INDEX(Department!B:B,MATCH(Table1[[#This Row],[Department ID]],Department!A:A,0))</f>
        <v>Sales</v>
      </c>
      <c r="Z186" t="str">
        <f>INDEX(Manager!B:B,MATCH(Table1[[#This Row],[Manger ID]],Manager!A:A,0))</f>
        <v>Lynn Daneault</v>
      </c>
      <c r="AA186">
        <f ca="1">DATEDIF(Table1[[#This Row],[DOB]],TODAY(), "Y")</f>
        <v>39</v>
      </c>
      <c r="AB186" t="str">
        <f ca="1">IF(Table1[[#This Row],[ Age]]&lt;18,"Less than 18",IF(Table1[[#This Row],[ Age]]&lt;=29,"18-29",IF(Table1[[#This Row],[ Age]]&lt;=49,"30-49",IF(Table1[[#This Row],[ Age]]&lt;=59,"50-59","60 or more"))))</f>
        <v>30-49</v>
      </c>
      <c r="AC186" s="8">
        <f ca="1">IF(ISBLANK(Table1[[#This Row],[DateofTermination]]),DATEDIF(Table1[[#This Row],[DateofHire]],TODAY(), "M"),DATEDIF(Table1[[#This Row],[DateofHire]],Table1[[#This Row],[DateofTermination]],"M"))/12</f>
        <v>7.75</v>
      </c>
      <c r="AD186" t="str">
        <f>IF(Table1[[#This Row],[EmpSatisfaction]]=1,"Very Dissatisfied", IF(Table1[[#This Row],[EmpSatisfaction]] = 2, "Dissatisfied", IF(Table1[[#This Row],[EmpSatisfaction]]  = 3, "Neutral", IF(Table1[[#This Row],[EmpSatisfaction]] = 4, "Satisfied", IF(Table1[[#This Row],[EmpSatisfaction]]=5,"Very Satisfied", " ")))))</f>
        <v>Satisfied</v>
      </c>
      <c r="AE186">
        <f>YEAR(Table1[[#This Row],[DateofHire]])</f>
        <v>2016</v>
      </c>
      <c r="AF186" t="s">
        <v>25</v>
      </c>
    </row>
    <row r="187" spans="1:32" hidden="1" x14ac:dyDescent="0.3">
      <c r="A187" t="s">
        <v>302</v>
      </c>
      <c r="B187">
        <v>10128</v>
      </c>
      <c r="C187" t="s">
        <v>474</v>
      </c>
      <c r="D187" t="s">
        <v>489</v>
      </c>
      <c r="E187">
        <v>10265</v>
      </c>
      <c r="F187" s="1">
        <v>41001</v>
      </c>
      <c r="G187" s="7">
        <v>62659</v>
      </c>
      <c r="H187" t="s">
        <v>499</v>
      </c>
      <c r="I187" s="1">
        <v>24988</v>
      </c>
      <c r="J187" t="s">
        <v>22</v>
      </c>
      <c r="K187" t="s">
        <v>23</v>
      </c>
      <c r="L187" t="s">
        <v>57</v>
      </c>
      <c r="M187" t="s">
        <v>21</v>
      </c>
      <c r="N187">
        <v>1760</v>
      </c>
      <c r="O187" s="1">
        <v>42685</v>
      </c>
      <c r="P187" t="s">
        <v>516</v>
      </c>
      <c r="Q187" t="s">
        <v>32</v>
      </c>
      <c r="R187" t="s">
        <v>59</v>
      </c>
      <c r="S187" t="s">
        <v>36</v>
      </c>
      <c r="T187">
        <v>4.18</v>
      </c>
      <c r="U187">
        <v>4</v>
      </c>
      <c r="V187" s="1">
        <v>42405</v>
      </c>
      <c r="W187">
        <v>17</v>
      </c>
      <c r="X187" t="str">
        <f>INDEX(Position!B:B,MATCH(Table1[[#This Row],[Position ID]],Position!A:A, 0 ))</f>
        <v>Production Technician I</v>
      </c>
      <c r="Y187" t="str">
        <f>INDEX(Department!B:B,MATCH(Table1[[#This Row],[Department ID]],Department!A:A,0))</f>
        <v>Production</v>
      </c>
      <c r="Z187" t="str">
        <f>INDEX(Manager!B:B,MATCH(Table1[[#This Row],[Manger ID]],Manager!A:A,0))</f>
        <v>Kelley Spirea</v>
      </c>
      <c r="AA187">
        <f ca="1">DATEDIF(Table1[[#This Row],[DOB]],TODAY(), "Y")</f>
        <v>55</v>
      </c>
      <c r="AB187" t="str">
        <f ca="1">IF(Table1[[#This Row],[ Age]]&lt;18,"Less than 18",IF(Table1[[#This Row],[ Age]]&lt;=29,"18-29",IF(Table1[[#This Row],[ Age]]&lt;=49,"30-49",IF(Table1[[#This Row],[ Age]]&lt;=59,"50-59","60 or more"))))</f>
        <v>50-59</v>
      </c>
      <c r="AC187" s="8">
        <f ca="1">IF(ISBLANK(Table1[[#This Row],[DateofTermination]]),DATEDIF(Table1[[#This Row],[DateofHire]],TODAY(), "M"),DATEDIF(Table1[[#This Row],[DateofHire]],Table1[[#This Row],[DateofTermination]],"M"))/12</f>
        <v>4.583333333333333</v>
      </c>
      <c r="AD187" t="str">
        <f>IF(Table1[[#This Row],[EmpSatisfaction]]=1,"Very Dissatisfied", IF(Table1[[#This Row],[EmpSatisfaction]] = 2, "Dissatisfied", IF(Table1[[#This Row],[EmpSatisfaction]]  = 3, "Neutral", IF(Table1[[#This Row],[EmpSatisfaction]] = 4, "Satisfied", IF(Table1[[#This Row],[EmpSatisfaction]]=5,"Very Satisfied", " ")))))</f>
        <v>Satisfied</v>
      </c>
      <c r="AE187">
        <f>YEAR(Table1[[#This Row],[DateofHire]])</f>
        <v>2012</v>
      </c>
      <c r="AF187" t="s">
        <v>535</v>
      </c>
    </row>
    <row r="188" spans="1:32" x14ac:dyDescent="0.3">
      <c r="A188" t="s">
        <v>303</v>
      </c>
      <c r="B188">
        <v>10068</v>
      </c>
      <c r="C188" t="s">
        <v>474</v>
      </c>
      <c r="D188" t="s">
        <v>489</v>
      </c>
      <c r="E188">
        <v>10026</v>
      </c>
      <c r="F188" s="1">
        <v>42093</v>
      </c>
      <c r="G188" s="7">
        <v>55688</v>
      </c>
      <c r="H188" t="s">
        <v>499</v>
      </c>
      <c r="I188" s="1">
        <v>28025</v>
      </c>
      <c r="J188" t="s">
        <v>22</v>
      </c>
      <c r="K188" t="s">
        <v>23</v>
      </c>
      <c r="L188" t="s">
        <v>24</v>
      </c>
      <c r="M188" t="s">
        <v>21</v>
      </c>
      <c r="N188">
        <v>2346</v>
      </c>
      <c r="P188" t="s">
        <v>512</v>
      </c>
      <c r="Q188" t="s">
        <v>25</v>
      </c>
      <c r="R188" t="s">
        <v>87</v>
      </c>
      <c r="S188" t="s">
        <v>36</v>
      </c>
      <c r="T188">
        <v>5</v>
      </c>
      <c r="U188">
        <v>4</v>
      </c>
      <c r="V188" s="1">
        <v>43486</v>
      </c>
      <c r="W188">
        <v>10</v>
      </c>
      <c r="X188" t="str">
        <f>INDEX(Position!B:B,MATCH(Table1[[#This Row],[Position ID]],Position!A:A, 0 ))</f>
        <v>Production Technician I</v>
      </c>
      <c r="Y188" t="str">
        <f>INDEX(Department!B:B,MATCH(Table1[[#This Row],[Department ID]],Department!A:A,0))</f>
        <v>Production</v>
      </c>
      <c r="Z188" t="str">
        <f>INDEX(Manager!B:B,MATCH(Table1[[#This Row],[Manger ID]],Manager!A:A,0))</f>
        <v>Michael Albert</v>
      </c>
      <c r="AA188">
        <f ca="1">DATEDIF(Table1[[#This Row],[DOB]],TODAY(), "Y")</f>
        <v>47</v>
      </c>
      <c r="AB188" t="str">
        <f ca="1">IF(Table1[[#This Row],[ Age]]&lt;18,"Less than 18",IF(Table1[[#This Row],[ Age]]&lt;=29,"18-29",IF(Table1[[#This Row],[ Age]]&lt;=49,"30-49",IF(Table1[[#This Row],[ Age]]&lt;=59,"50-59","60 or more"))))</f>
        <v>30-49</v>
      </c>
      <c r="AC188" s="8">
        <f ca="1">IF(ISBLANK(Table1[[#This Row],[DateofTermination]]),DATEDIF(Table1[[#This Row],[DateofHire]],TODAY(), "M"),DATEDIF(Table1[[#This Row],[DateofHire]],Table1[[#This Row],[DateofTermination]],"M"))/12</f>
        <v>9</v>
      </c>
      <c r="AD188" t="str">
        <f>IF(Table1[[#This Row],[EmpSatisfaction]]=1,"Very Dissatisfied", IF(Table1[[#This Row],[EmpSatisfaction]] = 2, "Dissatisfied", IF(Table1[[#This Row],[EmpSatisfaction]]  = 3, "Neutral", IF(Table1[[#This Row],[EmpSatisfaction]] = 4, "Satisfied", IF(Table1[[#This Row],[EmpSatisfaction]]=5,"Very Satisfied", " ")))))</f>
        <v>Satisfied</v>
      </c>
      <c r="AE188">
        <f>YEAR(Table1[[#This Row],[DateofHire]])</f>
        <v>2015</v>
      </c>
      <c r="AF188" t="s">
        <v>25</v>
      </c>
    </row>
    <row r="189" spans="1:32" x14ac:dyDescent="0.3">
      <c r="A189" t="s">
        <v>304</v>
      </c>
      <c r="B189">
        <v>10116</v>
      </c>
      <c r="C189" t="s">
        <v>473</v>
      </c>
      <c r="D189" t="s">
        <v>489</v>
      </c>
      <c r="E189">
        <v>10175</v>
      </c>
      <c r="F189" s="1">
        <v>41137</v>
      </c>
      <c r="G189" s="7">
        <v>83667</v>
      </c>
      <c r="H189" t="s">
        <v>498</v>
      </c>
      <c r="I189" s="1">
        <v>29808</v>
      </c>
      <c r="J189" t="s">
        <v>22</v>
      </c>
      <c r="K189" t="s">
        <v>23</v>
      </c>
      <c r="L189" t="s">
        <v>305</v>
      </c>
      <c r="M189" t="s">
        <v>21</v>
      </c>
      <c r="N189">
        <v>2045</v>
      </c>
      <c r="P189" t="s">
        <v>512</v>
      </c>
      <c r="Q189" t="s">
        <v>25</v>
      </c>
      <c r="R189" t="s">
        <v>35</v>
      </c>
      <c r="S189" t="s">
        <v>36</v>
      </c>
      <c r="T189">
        <v>4.37</v>
      </c>
      <c r="U189">
        <v>3</v>
      </c>
      <c r="V189" s="1">
        <v>43479</v>
      </c>
      <c r="W189">
        <v>2</v>
      </c>
      <c r="X189" t="str">
        <f>INDEX(Position!B:B,MATCH(Table1[[#This Row],[Position ID]],Position!A:A, 0 ))</f>
        <v>Production Manager</v>
      </c>
      <c r="Y189" t="str">
        <f>INDEX(Department!B:B,MATCH(Table1[[#This Row],[Department ID]],Department!A:A,0))</f>
        <v>Production</v>
      </c>
      <c r="Z189" t="str">
        <f>INDEX(Manager!B:B,MATCH(Table1[[#This Row],[Manger ID]],Manager!A:A,0))</f>
        <v>Janet King</v>
      </c>
      <c r="AA189">
        <f ca="1">DATEDIF(Table1[[#This Row],[DOB]],TODAY(), "Y")</f>
        <v>42</v>
      </c>
      <c r="AB189" t="str">
        <f ca="1">IF(Table1[[#This Row],[ Age]]&lt;18,"Less than 18",IF(Table1[[#This Row],[ Age]]&lt;=29,"18-29",IF(Table1[[#This Row],[ Age]]&lt;=49,"30-49",IF(Table1[[#This Row],[ Age]]&lt;=59,"50-59","60 or more"))))</f>
        <v>30-49</v>
      </c>
      <c r="AC189" s="8">
        <f ca="1">IF(ISBLANK(Table1[[#This Row],[DateofTermination]]),DATEDIF(Table1[[#This Row],[DateofHire]],TODAY(), "M"),DATEDIF(Table1[[#This Row],[DateofHire]],Table1[[#This Row],[DateofTermination]],"M"))/12</f>
        <v>11.583333333333334</v>
      </c>
      <c r="AD189" t="str">
        <f>IF(Table1[[#This Row],[EmpSatisfaction]]=1,"Very Dissatisfied", IF(Table1[[#This Row],[EmpSatisfaction]] = 2, "Dissatisfied", IF(Table1[[#This Row],[EmpSatisfaction]]  = 3, "Neutral", IF(Table1[[#This Row],[EmpSatisfaction]] = 4, "Satisfied", IF(Table1[[#This Row],[EmpSatisfaction]]=5,"Very Satisfied", " ")))))</f>
        <v>Neutral</v>
      </c>
      <c r="AE189">
        <f>YEAR(Table1[[#This Row],[DateofHire]])</f>
        <v>2012</v>
      </c>
      <c r="AF189" t="s">
        <v>25</v>
      </c>
    </row>
    <row r="190" spans="1:32" hidden="1" x14ac:dyDescent="0.3">
      <c r="A190" t="s">
        <v>306</v>
      </c>
      <c r="B190">
        <v>10298</v>
      </c>
      <c r="C190" t="s">
        <v>475</v>
      </c>
      <c r="D190" t="s">
        <v>489</v>
      </c>
      <c r="E190">
        <v>10114</v>
      </c>
      <c r="F190" s="1">
        <v>40770</v>
      </c>
      <c r="G190" s="7">
        <v>55800</v>
      </c>
      <c r="H190" t="s">
        <v>498</v>
      </c>
      <c r="I190" s="1">
        <v>31227</v>
      </c>
      <c r="J190" t="s">
        <v>22</v>
      </c>
      <c r="K190" t="s">
        <v>23</v>
      </c>
      <c r="L190" t="s">
        <v>24</v>
      </c>
      <c r="M190" t="s">
        <v>21</v>
      </c>
      <c r="N190">
        <v>2472</v>
      </c>
      <c r="O190" s="1">
        <v>41886</v>
      </c>
      <c r="P190" t="s">
        <v>517</v>
      </c>
      <c r="Q190" t="s">
        <v>32</v>
      </c>
      <c r="R190" t="s">
        <v>27</v>
      </c>
      <c r="S190" t="s">
        <v>158</v>
      </c>
      <c r="T190">
        <v>3</v>
      </c>
      <c r="U190">
        <v>2</v>
      </c>
      <c r="V190" s="1">
        <v>41288</v>
      </c>
      <c r="W190">
        <v>6</v>
      </c>
      <c r="X190" t="str">
        <f>INDEX(Position!B:B,MATCH(Table1[[#This Row],[Position ID]],Position!A:A, 0 ))</f>
        <v>Production Technician II</v>
      </c>
      <c r="Y190" t="str">
        <f>INDEX(Department!B:B,MATCH(Table1[[#This Row],[Department ID]],Department!A:A,0))</f>
        <v>Production</v>
      </c>
      <c r="Z190" t="str">
        <f>INDEX(Manager!B:B,MATCH(Table1[[#This Row],[Manger ID]],Manager!A:A,0))</f>
        <v>Brannon Miller</v>
      </c>
      <c r="AA190">
        <f ca="1">DATEDIF(Table1[[#This Row],[DOB]],TODAY(), "Y")</f>
        <v>38</v>
      </c>
      <c r="AB190" t="str">
        <f ca="1">IF(Table1[[#This Row],[ Age]]&lt;18,"Less than 18",IF(Table1[[#This Row],[ Age]]&lt;=29,"18-29",IF(Table1[[#This Row],[ Age]]&lt;=49,"30-49",IF(Table1[[#This Row],[ Age]]&lt;=59,"50-59","60 or more"))))</f>
        <v>30-49</v>
      </c>
      <c r="AC190" s="8">
        <f ca="1">IF(ISBLANK(Table1[[#This Row],[DateofTermination]]),DATEDIF(Table1[[#This Row],[DateofHire]],TODAY(), "M"),DATEDIF(Table1[[#This Row],[DateofHire]],Table1[[#This Row],[DateofTermination]],"M"))/12</f>
        <v>3</v>
      </c>
      <c r="AD190" t="str">
        <f>IF(Table1[[#This Row],[EmpSatisfaction]]=1,"Very Dissatisfied", IF(Table1[[#This Row],[EmpSatisfaction]] = 2, "Dissatisfied", IF(Table1[[#This Row],[EmpSatisfaction]]  = 3, "Neutral", IF(Table1[[#This Row],[EmpSatisfaction]] = 4, "Satisfied", IF(Table1[[#This Row],[EmpSatisfaction]]=5,"Very Satisfied", " ")))))</f>
        <v>Dissatisfied</v>
      </c>
      <c r="AE190">
        <f>YEAR(Table1[[#This Row],[DateofHire]])</f>
        <v>2011</v>
      </c>
      <c r="AF190" t="s">
        <v>535</v>
      </c>
    </row>
    <row r="191" spans="1:32" x14ac:dyDescent="0.3">
      <c r="A191" t="s">
        <v>307</v>
      </c>
      <c r="B191">
        <v>10213</v>
      </c>
      <c r="C191" t="s">
        <v>475</v>
      </c>
      <c r="D191" t="s">
        <v>489</v>
      </c>
      <c r="E191">
        <v>10252</v>
      </c>
      <c r="F191" s="1">
        <v>40854</v>
      </c>
      <c r="G191" s="7">
        <v>58207</v>
      </c>
      <c r="H191" t="s">
        <v>498</v>
      </c>
      <c r="I191" s="1">
        <v>33833</v>
      </c>
      <c r="J191" t="s">
        <v>31</v>
      </c>
      <c r="K191" t="s">
        <v>23</v>
      </c>
      <c r="L191" t="s">
        <v>24</v>
      </c>
      <c r="M191" t="s">
        <v>21</v>
      </c>
      <c r="N191">
        <v>1450</v>
      </c>
      <c r="P191" t="s">
        <v>512</v>
      </c>
      <c r="Q191" t="s">
        <v>25</v>
      </c>
      <c r="R191" t="s">
        <v>27</v>
      </c>
      <c r="S191" t="s">
        <v>36</v>
      </c>
      <c r="T191">
        <v>3.7</v>
      </c>
      <c r="U191">
        <v>3</v>
      </c>
      <c r="V191" s="1">
        <v>43473</v>
      </c>
      <c r="W191">
        <v>14</v>
      </c>
      <c r="X191" t="str">
        <f>INDEX(Position!B:B,MATCH(Table1[[#This Row],[Position ID]],Position!A:A, 0 ))</f>
        <v>Production Technician II</v>
      </c>
      <c r="Y191" t="str">
        <f>INDEX(Department!B:B,MATCH(Table1[[#This Row],[Department ID]],Department!A:A,0))</f>
        <v>Production</v>
      </c>
      <c r="Z191" t="str">
        <f>INDEX(Manager!B:B,MATCH(Table1[[#This Row],[Manger ID]],Manager!A:A,0))</f>
        <v>David Stanley</v>
      </c>
      <c r="AA191">
        <f ca="1">DATEDIF(Table1[[#This Row],[DOB]],TODAY(), "Y")</f>
        <v>31</v>
      </c>
      <c r="AB191" t="str">
        <f ca="1">IF(Table1[[#This Row],[ Age]]&lt;18,"Less than 18",IF(Table1[[#This Row],[ Age]]&lt;=29,"18-29",IF(Table1[[#This Row],[ Age]]&lt;=49,"30-49",IF(Table1[[#This Row],[ Age]]&lt;=59,"50-59","60 or more"))))</f>
        <v>30-49</v>
      </c>
      <c r="AC191" s="8">
        <f ca="1">IF(ISBLANK(Table1[[#This Row],[DateofTermination]]),DATEDIF(Table1[[#This Row],[DateofHire]],TODAY(), "M"),DATEDIF(Table1[[#This Row],[DateofHire]],Table1[[#This Row],[DateofTermination]],"M"))/12</f>
        <v>12.416666666666666</v>
      </c>
      <c r="AD191" t="str">
        <f>IF(Table1[[#This Row],[EmpSatisfaction]]=1,"Very Dissatisfied", IF(Table1[[#This Row],[EmpSatisfaction]] = 2, "Dissatisfied", IF(Table1[[#This Row],[EmpSatisfaction]]  = 3, "Neutral", IF(Table1[[#This Row],[EmpSatisfaction]] = 4, "Satisfied", IF(Table1[[#This Row],[EmpSatisfaction]]=5,"Very Satisfied", " ")))))</f>
        <v>Neutral</v>
      </c>
      <c r="AE191">
        <f>YEAR(Table1[[#This Row],[DateofHire]])</f>
        <v>2011</v>
      </c>
      <c r="AF191" t="s">
        <v>25</v>
      </c>
    </row>
    <row r="192" spans="1:32" x14ac:dyDescent="0.3">
      <c r="A192" t="s">
        <v>308</v>
      </c>
      <c r="B192">
        <v>10288</v>
      </c>
      <c r="C192" t="s">
        <v>467</v>
      </c>
      <c r="D192" t="s">
        <v>488</v>
      </c>
      <c r="E192">
        <v>10150</v>
      </c>
      <c r="F192" s="1">
        <v>40954</v>
      </c>
      <c r="G192" s="7">
        <v>157000</v>
      </c>
      <c r="H192" t="s">
        <v>498</v>
      </c>
      <c r="I192" s="1">
        <v>31690</v>
      </c>
      <c r="J192" t="s">
        <v>31</v>
      </c>
      <c r="K192" t="s">
        <v>78</v>
      </c>
      <c r="L192" t="s">
        <v>57</v>
      </c>
      <c r="M192" t="s">
        <v>21</v>
      </c>
      <c r="N192">
        <v>2134</v>
      </c>
      <c r="P192" t="s">
        <v>512</v>
      </c>
      <c r="Q192" t="s">
        <v>25</v>
      </c>
      <c r="R192" t="s">
        <v>59</v>
      </c>
      <c r="S192" t="s">
        <v>88</v>
      </c>
      <c r="T192">
        <v>2.39</v>
      </c>
      <c r="U192">
        <v>3</v>
      </c>
      <c r="V192" s="1">
        <v>43518</v>
      </c>
      <c r="W192">
        <v>13</v>
      </c>
      <c r="X192" t="str">
        <f>INDEX(Position!B:B,MATCH(Table1[[#This Row],[Position ID]],Position!A:A, 0 ))</f>
        <v>IT Manager - Infra</v>
      </c>
      <c r="Y192" t="str">
        <f>INDEX(Department!B:B,MATCH(Table1[[#This Row],[Department ID]],Department!A:A,0))</f>
        <v>IT/IS</v>
      </c>
      <c r="Z192" t="str">
        <f>INDEX(Manager!B:B,MATCH(Table1[[#This Row],[Manger ID]],Manager!A:A,0))</f>
        <v>Jennifer Zamora</v>
      </c>
      <c r="AA192">
        <f ca="1">DATEDIF(Table1[[#This Row],[DOB]],TODAY(), "Y")</f>
        <v>37</v>
      </c>
      <c r="AB192" t="str">
        <f ca="1">IF(Table1[[#This Row],[ Age]]&lt;18,"Less than 18",IF(Table1[[#This Row],[ Age]]&lt;=29,"18-29",IF(Table1[[#This Row],[ Age]]&lt;=49,"30-49",IF(Table1[[#This Row],[ Age]]&lt;=59,"50-59","60 or more"))))</f>
        <v>30-49</v>
      </c>
      <c r="AC192" s="8">
        <f ca="1">IF(ISBLANK(Table1[[#This Row],[DateofTermination]]),DATEDIF(Table1[[#This Row],[DateofHire]],TODAY(), "M"),DATEDIF(Table1[[#This Row],[DateofHire]],Table1[[#This Row],[DateofTermination]],"M"))/12</f>
        <v>12.083333333333334</v>
      </c>
      <c r="AD192" t="str">
        <f>IF(Table1[[#This Row],[EmpSatisfaction]]=1,"Very Dissatisfied", IF(Table1[[#This Row],[EmpSatisfaction]] = 2, "Dissatisfied", IF(Table1[[#This Row],[EmpSatisfaction]]  = 3, "Neutral", IF(Table1[[#This Row],[EmpSatisfaction]] = 4, "Satisfied", IF(Table1[[#This Row],[EmpSatisfaction]]=5,"Very Satisfied", " ")))))</f>
        <v>Neutral</v>
      </c>
      <c r="AE192">
        <f>YEAR(Table1[[#This Row],[DateofHire]])</f>
        <v>2012</v>
      </c>
      <c r="AF192" t="s">
        <v>25</v>
      </c>
    </row>
    <row r="193" spans="1:32" x14ac:dyDescent="0.3">
      <c r="A193" t="s">
        <v>310</v>
      </c>
      <c r="B193">
        <v>10025</v>
      </c>
      <c r="C193" t="s">
        <v>475</v>
      </c>
      <c r="D193" t="s">
        <v>489</v>
      </c>
      <c r="E193">
        <v>10196</v>
      </c>
      <c r="F193" s="1">
        <v>41407</v>
      </c>
      <c r="G193" s="7">
        <v>72460</v>
      </c>
      <c r="H193" t="s">
        <v>499</v>
      </c>
      <c r="I193" s="1">
        <v>25682</v>
      </c>
      <c r="J193" t="s">
        <v>22</v>
      </c>
      <c r="K193" t="s">
        <v>23</v>
      </c>
      <c r="L193" t="s">
        <v>57</v>
      </c>
      <c r="M193" t="s">
        <v>21</v>
      </c>
      <c r="N193">
        <v>2126</v>
      </c>
      <c r="P193" t="s">
        <v>512</v>
      </c>
      <c r="Q193" t="s">
        <v>25</v>
      </c>
      <c r="R193" t="s">
        <v>35</v>
      </c>
      <c r="S193" t="s">
        <v>28</v>
      </c>
      <c r="T193">
        <v>4.7</v>
      </c>
      <c r="U193">
        <v>3</v>
      </c>
      <c r="V193" s="1">
        <v>43479</v>
      </c>
      <c r="W193">
        <v>1</v>
      </c>
      <c r="X193" t="str">
        <f>INDEX(Position!B:B,MATCH(Table1[[#This Row],[Position ID]],Position!A:A, 0 ))</f>
        <v>Production Technician II</v>
      </c>
      <c r="Y193" t="str">
        <f>INDEX(Department!B:B,MATCH(Table1[[#This Row],[Department ID]],Department!A:A,0))</f>
        <v>Production</v>
      </c>
      <c r="Z193" t="str">
        <f>INDEX(Manager!B:B,MATCH(Table1[[#This Row],[Manger ID]],Manager!A:A,0))</f>
        <v>Kissy Sullivan</v>
      </c>
      <c r="AA193">
        <f ca="1">DATEDIF(Table1[[#This Row],[DOB]],TODAY(), "Y")</f>
        <v>53</v>
      </c>
      <c r="AB193" t="str">
        <f ca="1">IF(Table1[[#This Row],[ Age]]&lt;18,"Less than 18",IF(Table1[[#This Row],[ Age]]&lt;=29,"18-29",IF(Table1[[#This Row],[ Age]]&lt;=49,"30-49",IF(Table1[[#This Row],[ Age]]&lt;=59,"50-59","60 or more"))))</f>
        <v>50-59</v>
      </c>
      <c r="AC193" s="8">
        <f ca="1">IF(ISBLANK(Table1[[#This Row],[DateofTermination]]),DATEDIF(Table1[[#This Row],[DateofHire]],TODAY(), "M"),DATEDIF(Table1[[#This Row],[DateofHire]],Table1[[#This Row],[DateofTermination]],"M"))/12</f>
        <v>10.833333333333334</v>
      </c>
      <c r="AD193" t="str">
        <f>IF(Table1[[#This Row],[EmpSatisfaction]]=1,"Very Dissatisfied", IF(Table1[[#This Row],[EmpSatisfaction]] = 2, "Dissatisfied", IF(Table1[[#This Row],[EmpSatisfaction]]  = 3, "Neutral", IF(Table1[[#This Row],[EmpSatisfaction]] = 4, "Satisfied", IF(Table1[[#This Row],[EmpSatisfaction]]=5,"Very Satisfied", " ")))))</f>
        <v>Neutral</v>
      </c>
      <c r="AE193">
        <f>YEAR(Table1[[#This Row],[DateofHire]])</f>
        <v>2013</v>
      </c>
      <c r="AF193" t="s">
        <v>25</v>
      </c>
    </row>
    <row r="194" spans="1:32" x14ac:dyDescent="0.3">
      <c r="A194" t="s">
        <v>311</v>
      </c>
      <c r="B194">
        <v>10223</v>
      </c>
      <c r="C194" t="s">
        <v>475</v>
      </c>
      <c r="D194" t="s">
        <v>489</v>
      </c>
      <c r="E194">
        <v>10265</v>
      </c>
      <c r="F194" s="1">
        <v>40917</v>
      </c>
      <c r="G194" s="7">
        <v>72106</v>
      </c>
      <c r="H194" t="s">
        <v>498</v>
      </c>
      <c r="I194" s="1">
        <v>28097</v>
      </c>
      <c r="J194" t="s">
        <v>22</v>
      </c>
      <c r="K194" t="s">
        <v>23</v>
      </c>
      <c r="L194" t="s">
        <v>57</v>
      </c>
      <c r="M194" t="s">
        <v>21</v>
      </c>
      <c r="N194">
        <v>2127</v>
      </c>
      <c r="P194" t="s">
        <v>512</v>
      </c>
      <c r="Q194" t="s">
        <v>25</v>
      </c>
      <c r="R194" t="s">
        <v>59</v>
      </c>
      <c r="S194" t="s">
        <v>36</v>
      </c>
      <c r="T194">
        <v>4.0999999999999996</v>
      </c>
      <c r="U194">
        <v>4</v>
      </c>
      <c r="V194" s="1">
        <v>43496</v>
      </c>
      <c r="W194">
        <v>12</v>
      </c>
      <c r="X194" t="str">
        <f>INDEX(Position!B:B,MATCH(Table1[[#This Row],[Position ID]],Position!A:A, 0 ))</f>
        <v>Production Technician II</v>
      </c>
      <c r="Y194" t="str">
        <f>INDEX(Department!B:B,MATCH(Table1[[#This Row],[Department ID]],Department!A:A,0))</f>
        <v>Production</v>
      </c>
      <c r="Z194" t="str">
        <f>INDEX(Manager!B:B,MATCH(Table1[[#This Row],[Manger ID]],Manager!A:A,0))</f>
        <v>Kelley Spirea</v>
      </c>
      <c r="AA194">
        <f ca="1">DATEDIF(Table1[[#This Row],[DOB]],TODAY(), "Y")</f>
        <v>47</v>
      </c>
      <c r="AB194" t="str">
        <f ca="1">IF(Table1[[#This Row],[ Age]]&lt;18,"Less than 18",IF(Table1[[#This Row],[ Age]]&lt;=29,"18-29",IF(Table1[[#This Row],[ Age]]&lt;=49,"30-49",IF(Table1[[#This Row],[ Age]]&lt;=59,"50-59","60 or more"))))</f>
        <v>30-49</v>
      </c>
      <c r="AC194" s="8">
        <f ca="1">IF(ISBLANK(Table1[[#This Row],[DateofTermination]]),DATEDIF(Table1[[#This Row],[DateofHire]],TODAY(), "M"),DATEDIF(Table1[[#This Row],[DateofHire]],Table1[[#This Row],[DateofTermination]],"M"))/12</f>
        <v>12.25</v>
      </c>
      <c r="AD194" t="str">
        <f>IF(Table1[[#This Row],[EmpSatisfaction]]=1,"Very Dissatisfied", IF(Table1[[#This Row],[EmpSatisfaction]] = 2, "Dissatisfied", IF(Table1[[#This Row],[EmpSatisfaction]]  = 3, "Neutral", IF(Table1[[#This Row],[EmpSatisfaction]] = 4, "Satisfied", IF(Table1[[#This Row],[EmpSatisfaction]]=5,"Very Satisfied", " ")))))</f>
        <v>Satisfied</v>
      </c>
      <c r="AE194">
        <f>YEAR(Table1[[#This Row],[DateofHire]])</f>
        <v>2012</v>
      </c>
      <c r="AF194" t="s">
        <v>25</v>
      </c>
    </row>
    <row r="195" spans="1:32" x14ac:dyDescent="0.3">
      <c r="A195" t="s">
        <v>312</v>
      </c>
      <c r="B195">
        <v>10151</v>
      </c>
      <c r="C195" t="s">
        <v>470</v>
      </c>
      <c r="D195" t="s">
        <v>488</v>
      </c>
      <c r="E195">
        <v>10250</v>
      </c>
      <c r="F195" s="1">
        <v>42051</v>
      </c>
      <c r="G195" s="7">
        <v>52599</v>
      </c>
      <c r="H195" t="s">
        <v>499</v>
      </c>
      <c r="I195" s="1">
        <v>28949</v>
      </c>
      <c r="J195" t="s">
        <v>31</v>
      </c>
      <c r="K195" t="s">
        <v>23</v>
      </c>
      <c r="L195" t="s">
        <v>24</v>
      </c>
      <c r="M195" t="s">
        <v>21</v>
      </c>
      <c r="N195">
        <v>2048</v>
      </c>
      <c r="P195" t="s">
        <v>512</v>
      </c>
      <c r="Q195" t="s">
        <v>25</v>
      </c>
      <c r="R195" t="s">
        <v>87</v>
      </c>
      <c r="S195" t="s">
        <v>36</v>
      </c>
      <c r="T195">
        <v>3.81</v>
      </c>
      <c r="U195">
        <v>3</v>
      </c>
      <c r="V195" s="1">
        <v>43507</v>
      </c>
      <c r="W195">
        <v>6</v>
      </c>
      <c r="X195" t="str">
        <f>INDEX(Position!B:B,MATCH(Table1[[#This Row],[Position ID]],Position!A:A, 0 ))</f>
        <v>Network Engineer</v>
      </c>
      <c r="Y195" t="str">
        <f>INDEX(Department!B:B,MATCH(Table1[[#This Row],[Department ID]],Department!A:A,0))</f>
        <v>IT/IS</v>
      </c>
      <c r="Z195" t="str">
        <f>INDEX(Manager!B:B,MATCH(Table1[[#This Row],[Manger ID]],Manager!A:A,0))</f>
        <v>Peter Monroe</v>
      </c>
      <c r="AA195">
        <f ca="1">DATEDIF(Table1[[#This Row],[DOB]],TODAY(), "Y")</f>
        <v>45</v>
      </c>
      <c r="AB195" t="str">
        <f ca="1">IF(Table1[[#This Row],[ Age]]&lt;18,"Less than 18",IF(Table1[[#This Row],[ Age]]&lt;=29,"18-29",IF(Table1[[#This Row],[ Age]]&lt;=49,"30-49",IF(Table1[[#This Row],[ Age]]&lt;=59,"50-59","60 or more"))))</f>
        <v>30-49</v>
      </c>
      <c r="AC195" s="8">
        <f ca="1">IF(ISBLANK(Table1[[#This Row],[DateofTermination]]),DATEDIF(Table1[[#This Row],[DateofHire]],TODAY(), "M"),DATEDIF(Table1[[#This Row],[DateofHire]],Table1[[#This Row],[DateofTermination]],"M"))/12</f>
        <v>9.0833333333333339</v>
      </c>
      <c r="AD195" t="str">
        <f>IF(Table1[[#This Row],[EmpSatisfaction]]=1,"Very Dissatisfied", IF(Table1[[#This Row],[EmpSatisfaction]] = 2, "Dissatisfied", IF(Table1[[#This Row],[EmpSatisfaction]]  = 3, "Neutral", IF(Table1[[#This Row],[EmpSatisfaction]] = 4, "Satisfied", IF(Table1[[#This Row],[EmpSatisfaction]]=5,"Very Satisfied", " ")))))</f>
        <v>Neutral</v>
      </c>
      <c r="AE195">
        <f>YEAR(Table1[[#This Row],[DateofHire]])</f>
        <v>2015</v>
      </c>
      <c r="AF195" t="s">
        <v>25</v>
      </c>
    </row>
    <row r="196" spans="1:32" x14ac:dyDescent="0.3">
      <c r="A196" t="s">
        <v>313</v>
      </c>
      <c r="B196">
        <v>10254</v>
      </c>
      <c r="C196" t="s">
        <v>474</v>
      </c>
      <c r="D196" t="s">
        <v>489</v>
      </c>
      <c r="E196">
        <v>10088</v>
      </c>
      <c r="F196" s="1">
        <v>41365</v>
      </c>
      <c r="G196" s="7">
        <v>63430</v>
      </c>
      <c r="H196" t="s">
        <v>499</v>
      </c>
      <c r="I196" s="1">
        <v>30870</v>
      </c>
      <c r="J196" t="s">
        <v>43</v>
      </c>
      <c r="K196" t="s">
        <v>23</v>
      </c>
      <c r="L196" t="s">
        <v>24</v>
      </c>
      <c r="M196" t="s">
        <v>21</v>
      </c>
      <c r="N196">
        <v>2453</v>
      </c>
      <c r="P196" t="s">
        <v>512</v>
      </c>
      <c r="Q196" t="s">
        <v>25</v>
      </c>
      <c r="R196" t="s">
        <v>27</v>
      </c>
      <c r="S196" t="s">
        <v>36</v>
      </c>
      <c r="T196">
        <v>4.4000000000000004</v>
      </c>
      <c r="U196">
        <v>4</v>
      </c>
      <c r="V196" s="1">
        <v>43482</v>
      </c>
      <c r="W196">
        <v>18</v>
      </c>
      <c r="X196" t="str">
        <f>INDEX(Position!B:B,MATCH(Table1[[#This Row],[Position ID]],Position!A:A, 0 ))</f>
        <v>Production Technician I</v>
      </c>
      <c r="Y196" t="str">
        <f>INDEX(Department!B:B,MATCH(Table1[[#This Row],[Department ID]],Department!A:A,0))</f>
        <v>Production</v>
      </c>
      <c r="Z196" t="str">
        <f>INDEX(Manager!B:B,MATCH(Table1[[#This Row],[Manger ID]],Manager!A:A,0))</f>
        <v>Elijiah Gray</v>
      </c>
      <c r="AA196">
        <f ca="1">DATEDIF(Table1[[#This Row],[DOB]],TODAY(), "Y")</f>
        <v>39</v>
      </c>
      <c r="AB196" t="str">
        <f ca="1">IF(Table1[[#This Row],[ Age]]&lt;18,"Less than 18",IF(Table1[[#This Row],[ Age]]&lt;=29,"18-29",IF(Table1[[#This Row],[ Age]]&lt;=49,"30-49",IF(Table1[[#This Row],[ Age]]&lt;=59,"50-59","60 or more"))))</f>
        <v>30-49</v>
      </c>
      <c r="AC196" s="8">
        <f ca="1">IF(ISBLANK(Table1[[#This Row],[DateofTermination]]),DATEDIF(Table1[[#This Row],[DateofHire]],TODAY(), "M"),DATEDIF(Table1[[#This Row],[DateofHire]],Table1[[#This Row],[DateofTermination]],"M"))/12</f>
        <v>11</v>
      </c>
      <c r="AD196" t="str">
        <f>IF(Table1[[#This Row],[EmpSatisfaction]]=1,"Very Dissatisfied", IF(Table1[[#This Row],[EmpSatisfaction]] = 2, "Dissatisfied", IF(Table1[[#This Row],[EmpSatisfaction]]  = 3, "Neutral", IF(Table1[[#This Row],[EmpSatisfaction]] = 4, "Satisfied", IF(Table1[[#This Row],[EmpSatisfaction]]=5,"Very Satisfied", " ")))))</f>
        <v>Satisfied</v>
      </c>
      <c r="AE196">
        <f>YEAR(Table1[[#This Row],[DateofHire]])</f>
        <v>2013</v>
      </c>
      <c r="AF196" t="s">
        <v>25</v>
      </c>
    </row>
    <row r="197" spans="1:32" x14ac:dyDescent="0.3">
      <c r="A197" t="s">
        <v>314</v>
      </c>
      <c r="B197">
        <v>10120</v>
      </c>
      <c r="C197" t="s">
        <v>475</v>
      </c>
      <c r="D197" t="s">
        <v>489</v>
      </c>
      <c r="E197">
        <v>10026</v>
      </c>
      <c r="F197" s="1">
        <v>41407</v>
      </c>
      <c r="G197" s="7">
        <v>74417</v>
      </c>
      <c r="H197" t="s">
        <v>498</v>
      </c>
      <c r="I197" s="1">
        <v>27364</v>
      </c>
      <c r="J197" t="s">
        <v>105</v>
      </c>
      <c r="K197" t="s">
        <v>23</v>
      </c>
      <c r="L197" t="s">
        <v>57</v>
      </c>
      <c r="M197" t="s">
        <v>21</v>
      </c>
      <c r="N197">
        <v>1460</v>
      </c>
      <c r="P197" t="s">
        <v>512</v>
      </c>
      <c r="Q197" t="s">
        <v>25</v>
      </c>
      <c r="R197" t="s">
        <v>27</v>
      </c>
      <c r="S197" t="s">
        <v>36</v>
      </c>
      <c r="T197">
        <v>4.29</v>
      </c>
      <c r="U197">
        <v>5</v>
      </c>
      <c r="V197" s="1">
        <v>43493</v>
      </c>
      <c r="W197">
        <v>11</v>
      </c>
      <c r="X197" t="str">
        <f>INDEX(Position!B:B,MATCH(Table1[[#This Row],[Position ID]],Position!A:A, 0 ))</f>
        <v>Production Technician II</v>
      </c>
      <c r="Y197" t="str">
        <f>INDEX(Department!B:B,MATCH(Table1[[#This Row],[Department ID]],Department!A:A,0))</f>
        <v>Production</v>
      </c>
      <c r="Z197" t="str">
        <f>INDEX(Manager!B:B,MATCH(Table1[[#This Row],[Manger ID]],Manager!A:A,0))</f>
        <v>Michael Albert</v>
      </c>
      <c r="AA197">
        <f ca="1">DATEDIF(Table1[[#This Row],[DOB]],TODAY(), "Y")</f>
        <v>49</v>
      </c>
      <c r="AB197" t="str">
        <f ca="1">IF(Table1[[#This Row],[ Age]]&lt;18,"Less than 18",IF(Table1[[#This Row],[ Age]]&lt;=29,"18-29",IF(Table1[[#This Row],[ Age]]&lt;=49,"30-49",IF(Table1[[#This Row],[ Age]]&lt;=59,"50-59","60 or more"))))</f>
        <v>30-49</v>
      </c>
      <c r="AC197" s="8">
        <f ca="1">IF(ISBLANK(Table1[[#This Row],[DateofTermination]]),DATEDIF(Table1[[#This Row],[DateofHire]],TODAY(), "M"),DATEDIF(Table1[[#This Row],[DateofHire]],Table1[[#This Row],[DateofTermination]],"M"))/12</f>
        <v>10.833333333333334</v>
      </c>
      <c r="AD197" t="str">
        <f>IF(Table1[[#This Row],[EmpSatisfaction]]=1,"Very Dissatisfied", IF(Table1[[#This Row],[EmpSatisfaction]] = 2, "Dissatisfied", IF(Table1[[#This Row],[EmpSatisfaction]]  = 3, "Neutral", IF(Table1[[#This Row],[EmpSatisfaction]] = 4, "Satisfied", IF(Table1[[#This Row],[EmpSatisfaction]]=5,"Very Satisfied", " ")))))</f>
        <v>Very Satisfied</v>
      </c>
      <c r="AE197">
        <f>YEAR(Table1[[#This Row],[DateofHire]])</f>
        <v>2013</v>
      </c>
      <c r="AF197" t="s">
        <v>25</v>
      </c>
    </row>
    <row r="198" spans="1:32" x14ac:dyDescent="0.3">
      <c r="A198" t="s">
        <v>315</v>
      </c>
      <c r="B198">
        <v>10216</v>
      </c>
      <c r="C198" t="s">
        <v>474</v>
      </c>
      <c r="D198" t="s">
        <v>489</v>
      </c>
      <c r="E198">
        <v>10196</v>
      </c>
      <c r="F198" s="1">
        <v>41463</v>
      </c>
      <c r="G198" s="7">
        <v>57575</v>
      </c>
      <c r="H198" t="s">
        <v>498</v>
      </c>
      <c r="I198" s="1">
        <v>29329</v>
      </c>
      <c r="J198" t="s">
        <v>22</v>
      </c>
      <c r="K198" t="s">
        <v>23</v>
      </c>
      <c r="L198" t="s">
        <v>82</v>
      </c>
      <c r="M198" t="s">
        <v>21</v>
      </c>
      <c r="N198">
        <v>1550</v>
      </c>
      <c r="P198" t="s">
        <v>512</v>
      </c>
      <c r="Q198" t="s">
        <v>25</v>
      </c>
      <c r="R198" t="s">
        <v>27</v>
      </c>
      <c r="S198" t="s">
        <v>36</v>
      </c>
      <c r="T198">
        <v>4.0999999999999996</v>
      </c>
      <c r="U198">
        <v>4</v>
      </c>
      <c r="V198" s="1">
        <v>43487</v>
      </c>
      <c r="W198">
        <v>13</v>
      </c>
      <c r="X198" t="str">
        <f>INDEX(Position!B:B,MATCH(Table1[[#This Row],[Position ID]],Position!A:A, 0 ))</f>
        <v>Production Technician I</v>
      </c>
      <c r="Y198" t="str">
        <f>INDEX(Department!B:B,MATCH(Table1[[#This Row],[Department ID]],Department!A:A,0))</f>
        <v>Production</v>
      </c>
      <c r="Z198" t="str">
        <f>INDEX(Manager!B:B,MATCH(Table1[[#This Row],[Manger ID]],Manager!A:A,0))</f>
        <v>Kissy Sullivan</v>
      </c>
      <c r="AA198">
        <f ca="1">DATEDIF(Table1[[#This Row],[DOB]],TODAY(), "Y")</f>
        <v>43</v>
      </c>
      <c r="AB198" t="str">
        <f ca="1">IF(Table1[[#This Row],[ Age]]&lt;18,"Less than 18",IF(Table1[[#This Row],[ Age]]&lt;=29,"18-29",IF(Table1[[#This Row],[ Age]]&lt;=49,"30-49",IF(Table1[[#This Row],[ Age]]&lt;=59,"50-59","60 or more"))))</f>
        <v>30-49</v>
      </c>
      <c r="AC198" s="8">
        <f ca="1">IF(ISBLANK(Table1[[#This Row],[DateofTermination]]),DATEDIF(Table1[[#This Row],[DateofHire]],TODAY(), "M"),DATEDIF(Table1[[#This Row],[DateofHire]],Table1[[#This Row],[DateofTermination]],"M"))/12</f>
        <v>10.75</v>
      </c>
      <c r="AD198" t="str">
        <f>IF(Table1[[#This Row],[EmpSatisfaction]]=1,"Very Dissatisfied", IF(Table1[[#This Row],[EmpSatisfaction]] = 2, "Dissatisfied", IF(Table1[[#This Row],[EmpSatisfaction]]  = 3, "Neutral", IF(Table1[[#This Row],[EmpSatisfaction]] = 4, "Satisfied", IF(Table1[[#This Row],[EmpSatisfaction]]=5,"Very Satisfied", " ")))))</f>
        <v>Satisfied</v>
      </c>
      <c r="AE198">
        <f>YEAR(Table1[[#This Row],[DateofHire]])</f>
        <v>2013</v>
      </c>
      <c r="AF198" t="s">
        <v>25</v>
      </c>
    </row>
    <row r="199" spans="1:32" x14ac:dyDescent="0.3">
      <c r="A199" t="s">
        <v>316</v>
      </c>
      <c r="B199">
        <v>10079</v>
      </c>
      <c r="C199" t="s">
        <v>477</v>
      </c>
      <c r="D199" t="s">
        <v>488</v>
      </c>
      <c r="E199">
        <v>10197</v>
      </c>
      <c r="F199" s="1">
        <v>42776</v>
      </c>
      <c r="G199" s="7">
        <v>87921</v>
      </c>
      <c r="H199" t="s">
        <v>498</v>
      </c>
      <c r="I199" s="1">
        <v>25683</v>
      </c>
      <c r="J199" t="s">
        <v>22</v>
      </c>
      <c r="K199" t="s">
        <v>23</v>
      </c>
      <c r="L199" t="s">
        <v>82</v>
      </c>
      <c r="M199" t="s">
        <v>21</v>
      </c>
      <c r="N199">
        <v>2056</v>
      </c>
      <c r="P199" t="s">
        <v>512</v>
      </c>
      <c r="Q199" t="s">
        <v>25</v>
      </c>
      <c r="R199" t="s">
        <v>35</v>
      </c>
      <c r="S199" t="s">
        <v>36</v>
      </c>
      <c r="T199">
        <v>5</v>
      </c>
      <c r="U199">
        <v>3</v>
      </c>
      <c r="V199" s="1">
        <v>43521</v>
      </c>
      <c r="W199">
        <v>17</v>
      </c>
      <c r="X199" t="str">
        <f>INDEX(Position!B:B,MATCH(Table1[[#This Row],[Position ID]],Position!A:A, 0 ))</f>
        <v>Senior BI Developer</v>
      </c>
      <c r="Y199" t="str">
        <f>INDEX(Department!B:B,MATCH(Table1[[#This Row],[Department ID]],Department!A:A,0))</f>
        <v>IT/IS</v>
      </c>
      <c r="Z199" t="str">
        <f>INDEX(Manager!B:B,MATCH(Table1[[#This Row],[Manger ID]],Manager!A:A,0))</f>
        <v>Brian Champaigne</v>
      </c>
      <c r="AA199">
        <f ca="1">DATEDIF(Table1[[#This Row],[DOB]],TODAY(), "Y")</f>
        <v>53</v>
      </c>
      <c r="AB199" t="str">
        <f ca="1">IF(Table1[[#This Row],[ Age]]&lt;18,"Less than 18",IF(Table1[[#This Row],[ Age]]&lt;=29,"18-29",IF(Table1[[#This Row],[ Age]]&lt;=49,"30-49",IF(Table1[[#This Row],[ Age]]&lt;=59,"50-59","60 or more"))))</f>
        <v>50-59</v>
      </c>
      <c r="AC199" s="8">
        <f ca="1">IF(ISBLANK(Table1[[#This Row],[DateofTermination]]),DATEDIF(Table1[[#This Row],[DateofHire]],TODAY(), "M"),DATEDIF(Table1[[#This Row],[DateofHire]],Table1[[#This Row],[DateofTermination]],"M"))/12</f>
        <v>7.083333333333333</v>
      </c>
      <c r="AD199" t="str">
        <f>IF(Table1[[#This Row],[EmpSatisfaction]]=1,"Very Dissatisfied", IF(Table1[[#This Row],[EmpSatisfaction]] = 2, "Dissatisfied", IF(Table1[[#This Row],[EmpSatisfaction]]  = 3, "Neutral", IF(Table1[[#This Row],[EmpSatisfaction]] = 4, "Satisfied", IF(Table1[[#This Row],[EmpSatisfaction]]=5,"Very Satisfied", " ")))))</f>
        <v>Neutral</v>
      </c>
      <c r="AE199">
        <f>YEAR(Table1[[#This Row],[DateofHire]])</f>
        <v>2017</v>
      </c>
      <c r="AF199" t="s">
        <v>25</v>
      </c>
    </row>
    <row r="200" spans="1:32" hidden="1" x14ac:dyDescent="0.3">
      <c r="A200" t="s">
        <v>317</v>
      </c>
      <c r="B200">
        <v>10215</v>
      </c>
      <c r="C200" t="s">
        <v>474</v>
      </c>
      <c r="D200" t="s">
        <v>489</v>
      </c>
      <c r="E200">
        <v>10069</v>
      </c>
      <c r="F200" s="1">
        <v>40812</v>
      </c>
      <c r="G200" s="7">
        <v>50470</v>
      </c>
      <c r="H200" t="s">
        <v>498</v>
      </c>
      <c r="I200" s="1">
        <v>32630</v>
      </c>
      <c r="J200" t="s">
        <v>22</v>
      </c>
      <c r="K200" t="s">
        <v>23</v>
      </c>
      <c r="L200" t="s">
        <v>57</v>
      </c>
      <c r="M200" t="s">
        <v>21</v>
      </c>
      <c r="N200">
        <v>2110</v>
      </c>
      <c r="O200" s="1">
        <v>41733</v>
      </c>
      <c r="P200" t="s">
        <v>515</v>
      </c>
      <c r="Q200" t="s">
        <v>32</v>
      </c>
      <c r="R200" t="s">
        <v>59</v>
      </c>
      <c r="S200" t="s">
        <v>36</v>
      </c>
      <c r="T200">
        <v>4.3</v>
      </c>
      <c r="U200">
        <v>3</v>
      </c>
      <c r="V200" s="1">
        <v>41335</v>
      </c>
      <c r="W200">
        <v>19</v>
      </c>
      <c r="X200" t="str">
        <f>INDEX(Position!B:B,MATCH(Table1[[#This Row],[Position ID]],Position!A:A, 0 ))</f>
        <v>Production Technician I</v>
      </c>
      <c r="Y200" t="str">
        <f>INDEX(Department!B:B,MATCH(Table1[[#This Row],[Department ID]],Department!A:A,0))</f>
        <v>Production</v>
      </c>
      <c r="Z200" t="str">
        <f>INDEX(Manager!B:B,MATCH(Table1[[#This Row],[Manger ID]],Manager!A:A,0))</f>
        <v>Webster Butler</v>
      </c>
      <c r="AA200">
        <f ca="1">DATEDIF(Table1[[#This Row],[DOB]],TODAY(), "Y")</f>
        <v>34</v>
      </c>
      <c r="AB200" t="str">
        <f ca="1">IF(Table1[[#This Row],[ Age]]&lt;18,"Less than 18",IF(Table1[[#This Row],[ Age]]&lt;=29,"18-29",IF(Table1[[#This Row],[ Age]]&lt;=49,"30-49",IF(Table1[[#This Row],[ Age]]&lt;=59,"50-59","60 or more"))))</f>
        <v>30-49</v>
      </c>
      <c r="AC200" s="8">
        <f ca="1">IF(ISBLANK(Table1[[#This Row],[DateofTermination]]),DATEDIF(Table1[[#This Row],[DateofHire]],TODAY(), "M"),DATEDIF(Table1[[#This Row],[DateofHire]],Table1[[#This Row],[DateofTermination]],"M"))/12</f>
        <v>2.5</v>
      </c>
      <c r="AD200" t="str">
        <f>IF(Table1[[#This Row],[EmpSatisfaction]]=1,"Very Dissatisfied", IF(Table1[[#This Row],[EmpSatisfaction]] = 2, "Dissatisfied", IF(Table1[[#This Row],[EmpSatisfaction]]  = 3, "Neutral", IF(Table1[[#This Row],[EmpSatisfaction]] = 4, "Satisfied", IF(Table1[[#This Row],[EmpSatisfaction]]=5,"Very Satisfied", " ")))))</f>
        <v>Neutral</v>
      </c>
      <c r="AE200">
        <f>YEAR(Table1[[#This Row],[DateofHire]])</f>
        <v>2011</v>
      </c>
      <c r="AF200" t="s">
        <v>535</v>
      </c>
    </row>
    <row r="201" spans="1:32" hidden="1" x14ac:dyDescent="0.3">
      <c r="A201" t="s">
        <v>318</v>
      </c>
      <c r="B201">
        <v>10185</v>
      </c>
      <c r="C201" t="s">
        <v>474</v>
      </c>
      <c r="D201" t="s">
        <v>489</v>
      </c>
      <c r="E201">
        <v>10002</v>
      </c>
      <c r="F201" s="1">
        <v>41365</v>
      </c>
      <c r="G201" s="7">
        <v>46664</v>
      </c>
      <c r="H201" t="s">
        <v>498</v>
      </c>
      <c r="I201" s="1">
        <v>30403</v>
      </c>
      <c r="J201" t="s">
        <v>31</v>
      </c>
      <c r="K201" t="s">
        <v>23</v>
      </c>
      <c r="L201" t="s">
        <v>24</v>
      </c>
      <c r="M201" t="s">
        <v>21</v>
      </c>
      <c r="N201">
        <v>2421</v>
      </c>
      <c r="O201" s="1">
        <v>42515</v>
      </c>
      <c r="P201" t="s">
        <v>523</v>
      </c>
      <c r="Q201" t="s">
        <v>32</v>
      </c>
      <c r="R201" t="s">
        <v>55</v>
      </c>
      <c r="S201" t="s">
        <v>36</v>
      </c>
      <c r="T201">
        <v>3.18</v>
      </c>
      <c r="U201">
        <v>3</v>
      </c>
      <c r="V201" s="1">
        <v>42435</v>
      </c>
      <c r="W201">
        <v>10</v>
      </c>
      <c r="X201" t="str">
        <f>INDEX(Position!B:B,MATCH(Table1[[#This Row],[Position ID]],Position!A:A, 0 ))</f>
        <v>Production Technician I</v>
      </c>
      <c r="Y201" t="str">
        <f>INDEX(Department!B:B,MATCH(Table1[[#This Row],[Department ID]],Department!A:A,0))</f>
        <v>Production</v>
      </c>
      <c r="Z201" t="str">
        <f>INDEX(Manager!B:B,MATCH(Table1[[#This Row],[Manger ID]],Manager!A:A,0))</f>
        <v>Amy Dunn</v>
      </c>
      <c r="AA201">
        <f ca="1">DATEDIF(Table1[[#This Row],[DOB]],TODAY(), "Y")</f>
        <v>41</v>
      </c>
      <c r="AB201" t="str">
        <f ca="1">IF(Table1[[#This Row],[ Age]]&lt;18,"Less than 18",IF(Table1[[#This Row],[ Age]]&lt;=29,"18-29",IF(Table1[[#This Row],[ Age]]&lt;=49,"30-49",IF(Table1[[#This Row],[ Age]]&lt;=59,"50-59","60 or more"))))</f>
        <v>30-49</v>
      </c>
      <c r="AC201" s="8">
        <f ca="1">IF(ISBLANK(Table1[[#This Row],[DateofTermination]]),DATEDIF(Table1[[#This Row],[DateofHire]],TODAY(), "M"),DATEDIF(Table1[[#This Row],[DateofHire]],Table1[[#This Row],[DateofTermination]],"M"))/12</f>
        <v>3.0833333333333335</v>
      </c>
      <c r="AD201" t="str">
        <f>IF(Table1[[#This Row],[EmpSatisfaction]]=1,"Very Dissatisfied", IF(Table1[[#This Row],[EmpSatisfaction]] = 2, "Dissatisfied", IF(Table1[[#This Row],[EmpSatisfaction]]  = 3, "Neutral", IF(Table1[[#This Row],[EmpSatisfaction]] = 4, "Satisfied", IF(Table1[[#This Row],[EmpSatisfaction]]=5,"Very Satisfied", " ")))))</f>
        <v>Neutral</v>
      </c>
      <c r="AE201">
        <f>YEAR(Table1[[#This Row],[DateofHire]])</f>
        <v>2013</v>
      </c>
      <c r="AF201" t="s">
        <v>535</v>
      </c>
    </row>
    <row r="202" spans="1:32" x14ac:dyDescent="0.3">
      <c r="A202" t="s">
        <v>319</v>
      </c>
      <c r="B202">
        <v>10063</v>
      </c>
      <c r="C202" t="s">
        <v>474</v>
      </c>
      <c r="D202" t="s">
        <v>489</v>
      </c>
      <c r="E202">
        <v>10062</v>
      </c>
      <c r="F202" s="1">
        <v>41771</v>
      </c>
      <c r="G202" s="7">
        <v>48495</v>
      </c>
      <c r="H202" t="s">
        <v>498</v>
      </c>
      <c r="I202" s="1">
        <v>28223</v>
      </c>
      <c r="J202" t="s">
        <v>31</v>
      </c>
      <c r="K202" t="s">
        <v>23</v>
      </c>
      <c r="L202" t="s">
        <v>24</v>
      </c>
      <c r="M202" t="s">
        <v>21</v>
      </c>
      <c r="N202">
        <v>2136</v>
      </c>
      <c r="P202" t="s">
        <v>512</v>
      </c>
      <c r="Q202" t="s">
        <v>25</v>
      </c>
      <c r="R202" t="s">
        <v>27</v>
      </c>
      <c r="S202" t="s">
        <v>36</v>
      </c>
      <c r="T202">
        <v>5</v>
      </c>
      <c r="U202">
        <v>5</v>
      </c>
      <c r="V202" s="1">
        <v>43514</v>
      </c>
      <c r="W202">
        <v>11</v>
      </c>
      <c r="X202" t="str">
        <f>INDEX(Position!B:B,MATCH(Table1[[#This Row],[Position ID]],Position!A:A, 0 ))</f>
        <v>Production Technician I</v>
      </c>
      <c r="Y202" t="str">
        <f>INDEX(Department!B:B,MATCH(Table1[[#This Row],[Department ID]],Department!A:A,0))</f>
        <v>Production</v>
      </c>
      <c r="Z202" t="str">
        <f>INDEX(Manager!B:B,MATCH(Table1[[#This Row],[Manger ID]],Manager!A:A,0))</f>
        <v>Ketsia Liebig</v>
      </c>
      <c r="AA202">
        <f ca="1">DATEDIF(Table1[[#This Row],[DOB]],TODAY(), "Y")</f>
        <v>47</v>
      </c>
      <c r="AB202" t="str">
        <f ca="1">IF(Table1[[#This Row],[ Age]]&lt;18,"Less than 18",IF(Table1[[#This Row],[ Age]]&lt;=29,"18-29",IF(Table1[[#This Row],[ Age]]&lt;=49,"30-49",IF(Table1[[#This Row],[ Age]]&lt;=59,"50-59","60 or more"))))</f>
        <v>30-49</v>
      </c>
      <c r="AC202" s="8">
        <f ca="1">IF(ISBLANK(Table1[[#This Row],[DateofTermination]]),DATEDIF(Table1[[#This Row],[DateofHire]],TODAY(), "M"),DATEDIF(Table1[[#This Row],[DateofHire]],Table1[[#This Row],[DateofTermination]],"M"))/12</f>
        <v>9.8333333333333339</v>
      </c>
      <c r="AD202" t="str">
        <f>IF(Table1[[#This Row],[EmpSatisfaction]]=1,"Very Dissatisfied", IF(Table1[[#This Row],[EmpSatisfaction]] = 2, "Dissatisfied", IF(Table1[[#This Row],[EmpSatisfaction]]  = 3, "Neutral", IF(Table1[[#This Row],[EmpSatisfaction]] = 4, "Satisfied", IF(Table1[[#This Row],[EmpSatisfaction]]=5,"Very Satisfied", " ")))))</f>
        <v>Very Satisfied</v>
      </c>
      <c r="AE202">
        <f>YEAR(Table1[[#This Row],[DateofHire]])</f>
        <v>2014</v>
      </c>
      <c r="AF202" t="s">
        <v>25</v>
      </c>
    </row>
    <row r="203" spans="1:32" x14ac:dyDescent="0.3">
      <c r="A203" t="s">
        <v>320</v>
      </c>
      <c r="B203">
        <v>10037</v>
      </c>
      <c r="C203" t="s">
        <v>474</v>
      </c>
      <c r="D203" t="s">
        <v>489</v>
      </c>
      <c r="E203">
        <v>10114</v>
      </c>
      <c r="F203" s="1">
        <v>41365</v>
      </c>
      <c r="G203" s="7">
        <v>52984</v>
      </c>
      <c r="H203" t="s">
        <v>499</v>
      </c>
      <c r="I203" s="1">
        <v>24626</v>
      </c>
      <c r="J203" t="s">
        <v>105</v>
      </c>
      <c r="K203" t="s">
        <v>23</v>
      </c>
      <c r="L203" t="s">
        <v>57</v>
      </c>
      <c r="M203" t="s">
        <v>21</v>
      </c>
      <c r="N203">
        <v>1810</v>
      </c>
      <c r="P203" t="s">
        <v>512</v>
      </c>
      <c r="Q203" t="s">
        <v>25</v>
      </c>
      <c r="R203" t="s">
        <v>59</v>
      </c>
      <c r="S203" t="s">
        <v>28</v>
      </c>
      <c r="T203">
        <v>4</v>
      </c>
      <c r="U203">
        <v>3</v>
      </c>
      <c r="V203" s="1">
        <v>43509</v>
      </c>
      <c r="W203">
        <v>12</v>
      </c>
      <c r="X203" t="str">
        <f>INDEX(Position!B:B,MATCH(Table1[[#This Row],[Position ID]],Position!A:A, 0 ))</f>
        <v>Production Technician I</v>
      </c>
      <c r="Y203" t="str">
        <f>INDEX(Department!B:B,MATCH(Table1[[#This Row],[Department ID]],Department!A:A,0))</f>
        <v>Production</v>
      </c>
      <c r="Z203" t="str">
        <f>INDEX(Manager!B:B,MATCH(Table1[[#This Row],[Manger ID]],Manager!A:A,0))</f>
        <v>Brannon Miller</v>
      </c>
      <c r="AA203">
        <f ca="1">DATEDIF(Table1[[#This Row],[DOB]],TODAY(), "Y")</f>
        <v>56</v>
      </c>
      <c r="AB203" t="str">
        <f ca="1">IF(Table1[[#This Row],[ Age]]&lt;18,"Less than 18",IF(Table1[[#This Row],[ Age]]&lt;=29,"18-29",IF(Table1[[#This Row],[ Age]]&lt;=49,"30-49",IF(Table1[[#This Row],[ Age]]&lt;=59,"50-59","60 or more"))))</f>
        <v>50-59</v>
      </c>
      <c r="AC203" s="8">
        <f ca="1">IF(ISBLANK(Table1[[#This Row],[DateofTermination]]),DATEDIF(Table1[[#This Row],[DateofHire]],TODAY(), "M"),DATEDIF(Table1[[#This Row],[DateofHire]],Table1[[#This Row],[DateofTermination]],"M"))/12</f>
        <v>11</v>
      </c>
      <c r="AD203" t="str">
        <f>IF(Table1[[#This Row],[EmpSatisfaction]]=1,"Very Dissatisfied", IF(Table1[[#This Row],[EmpSatisfaction]] = 2, "Dissatisfied", IF(Table1[[#This Row],[EmpSatisfaction]]  = 3, "Neutral", IF(Table1[[#This Row],[EmpSatisfaction]] = 4, "Satisfied", IF(Table1[[#This Row],[EmpSatisfaction]]=5,"Very Satisfied", " ")))))</f>
        <v>Neutral</v>
      </c>
      <c r="AE203">
        <f>YEAR(Table1[[#This Row],[DateofHire]])</f>
        <v>2013</v>
      </c>
      <c r="AF203" t="s">
        <v>25</v>
      </c>
    </row>
    <row r="204" spans="1:32" x14ac:dyDescent="0.3">
      <c r="A204" t="s">
        <v>321</v>
      </c>
      <c r="B204">
        <v>10042</v>
      </c>
      <c r="C204" t="s">
        <v>454</v>
      </c>
      <c r="D204" t="s">
        <v>490</v>
      </c>
      <c r="E204">
        <v>10200</v>
      </c>
      <c r="F204" s="1">
        <v>41463</v>
      </c>
      <c r="G204" s="7">
        <v>63695</v>
      </c>
      <c r="H204" t="s">
        <v>499</v>
      </c>
      <c r="I204" s="1">
        <v>32598</v>
      </c>
      <c r="J204" t="s">
        <v>22</v>
      </c>
      <c r="K204" t="s">
        <v>23</v>
      </c>
      <c r="L204" t="s">
        <v>70</v>
      </c>
      <c r="M204" t="s">
        <v>322</v>
      </c>
      <c r="N204">
        <v>30428</v>
      </c>
      <c r="P204" t="s">
        <v>512</v>
      </c>
      <c r="Q204" t="s">
        <v>25</v>
      </c>
      <c r="R204" t="s">
        <v>35</v>
      </c>
      <c r="S204" t="s">
        <v>36</v>
      </c>
      <c r="T204">
        <v>5</v>
      </c>
      <c r="U204">
        <v>5</v>
      </c>
      <c r="V204" s="1">
        <v>43490</v>
      </c>
      <c r="W204">
        <v>2</v>
      </c>
      <c r="X204" t="str">
        <f>INDEX(Position!B:B,MATCH(Table1[[#This Row],[Position ID]],Position!A:A, 0 ))</f>
        <v>Area Sales Manager</v>
      </c>
      <c r="Y204" t="str">
        <f>INDEX(Department!B:B,MATCH(Table1[[#This Row],[Department ID]],Department!A:A,0))</f>
        <v>Sales</v>
      </c>
      <c r="Z204" t="str">
        <f>INDEX(Manager!B:B,MATCH(Table1[[#This Row],[Manger ID]],Manager!A:A,0))</f>
        <v>Lynn Daneault</v>
      </c>
      <c r="AA204">
        <f ca="1">DATEDIF(Table1[[#This Row],[DOB]],TODAY(), "Y")</f>
        <v>35</v>
      </c>
      <c r="AB204" t="str">
        <f ca="1">IF(Table1[[#This Row],[ Age]]&lt;18,"Less than 18",IF(Table1[[#This Row],[ Age]]&lt;=29,"18-29",IF(Table1[[#This Row],[ Age]]&lt;=49,"30-49",IF(Table1[[#This Row],[ Age]]&lt;=59,"50-59","60 or more"))))</f>
        <v>30-49</v>
      </c>
      <c r="AC204" s="8">
        <f ca="1">IF(ISBLANK(Table1[[#This Row],[DateofTermination]]),DATEDIF(Table1[[#This Row],[DateofHire]],TODAY(), "M"),DATEDIF(Table1[[#This Row],[DateofHire]],Table1[[#This Row],[DateofTermination]],"M"))/12</f>
        <v>10.75</v>
      </c>
      <c r="AD204" t="str">
        <f>IF(Table1[[#This Row],[EmpSatisfaction]]=1,"Very Dissatisfied", IF(Table1[[#This Row],[EmpSatisfaction]] = 2, "Dissatisfied", IF(Table1[[#This Row],[EmpSatisfaction]]  = 3, "Neutral", IF(Table1[[#This Row],[EmpSatisfaction]] = 4, "Satisfied", IF(Table1[[#This Row],[EmpSatisfaction]]=5,"Very Satisfied", " ")))))</f>
        <v>Very Satisfied</v>
      </c>
      <c r="AE204">
        <f>YEAR(Table1[[#This Row],[DateofHire]])</f>
        <v>2013</v>
      </c>
      <c r="AF204" t="s">
        <v>25</v>
      </c>
    </row>
    <row r="205" spans="1:32" x14ac:dyDescent="0.3">
      <c r="A205" t="s">
        <v>323</v>
      </c>
      <c r="B205">
        <v>10206</v>
      </c>
      <c r="C205" t="s">
        <v>474</v>
      </c>
      <c r="D205" t="s">
        <v>489</v>
      </c>
      <c r="E205">
        <v>10252</v>
      </c>
      <c r="F205" s="1">
        <v>41463</v>
      </c>
      <c r="G205" s="7">
        <v>62061</v>
      </c>
      <c r="H205" t="s">
        <v>499</v>
      </c>
      <c r="I205" s="1">
        <v>30870</v>
      </c>
      <c r="J205" t="s">
        <v>22</v>
      </c>
      <c r="K205" t="s">
        <v>23</v>
      </c>
      <c r="L205" t="s">
        <v>24</v>
      </c>
      <c r="M205" t="s">
        <v>21</v>
      </c>
      <c r="N205">
        <v>2132</v>
      </c>
      <c r="P205" t="s">
        <v>512</v>
      </c>
      <c r="Q205" t="s">
        <v>25</v>
      </c>
      <c r="R205" t="s">
        <v>27</v>
      </c>
      <c r="S205" t="s">
        <v>36</v>
      </c>
      <c r="T205">
        <v>3.6</v>
      </c>
      <c r="U205">
        <v>5</v>
      </c>
      <c r="V205" s="1">
        <v>43467</v>
      </c>
      <c r="W205">
        <v>4</v>
      </c>
      <c r="X205" t="str">
        <f>INDEX(Position!B:B,MATCH(Table1[[#This Row],[Position ID]],Position!A:A, 0 ))</f>
        <v>Production Technician I</v>
      </c>
      <c r="Y205" t="str">
        <f>INDEX(Department!B:B,MATCH(Table1[[#This Row],[Department ID]],Department!A:A,0))</f>
        <v>Production</v>
      </c>
      <c r="Z205" t="str">
        <f>INDEX(Manager!B:B,MATCH(Table1[[#This Row],[Manger ID]],Manager!A:A,0))</f>
        <v>David Stanley</v>
      </c>
      <c r="AA205">
        <f ca="1">DATEDIF(Table1[[#This Row],[DOB]],TODAY(), "Y")</f>
        <v>39</v>
      </c>
      <c r="AB205" t="str">
        <f ca="1">IF(Table1[[#This Row],[ Age]]&lt;18,"Less than 18",IF(Table1[[#This Row],[ Age]]&lt;=29,"18-29",IF(Table1[[#This Row],[ Age]]&lt;=49,"30-49",IF(Table1[[#This Row],[ Age]]&lt;=59,"50-59","60 or more"))))</f>
        <v>30-49</v>
      </c>
      <c r="AC205" s="8">
        <f ca="1">IF(ISBLANK(Table1[[#This Row],[DateofTermination]]),DATEDIF(Table1[[#This Row],[DateofHire]],TODAY(), "M"),DATEDIF(Table1[[#This Row],[DateofHire]],Table1[[#This Row],[DateofTermination]],"M"))/12</f>
        <v>10.75</v>
      </c>
      <c r="AD205" t="str">
        <f>IF(Table1[[#This Row],[EmpSatisfaction]]=1,"Very Dissatisfied", IF(Table1[[#This Row],[EmpSatisfaction]] = 2, "Dissatisfied", IF(Table1[[#This Row],[EmpSatisfaction]]  = 3, "Neutral", IF(Table1[[#This Row],[EmpSatisfaction]] = 4, "Satisfied", IF(Table1[[#This Row],[EmpSatisfaction]]=5,"Very Satisfied", " ")))))</f>
        <v>Very Satisfied</v>
      </c>
      <c r="AE205">
        <f>YEAR(Table1[[#This Row],[DateofHire]])</f>
        <v>2013</v>
      </c>
      <c r="AF205" t="s">
        <v>25</v>
      </c>
    </row>
    <row r="206" spans="1:32" x14ac:dyDescent="0.3">
      <c r="A206" t="s">
        <v>324</v>
      </c>
      <c r="B206">
        <v>10104</v>
      </c>
      <c r="C206" t="s">
        <v>475</v>
      </c>
      <c r="D206" t="s">
        <v>489</v>
      </c>
      <c r="E206">
        <v>10088</v>
      </c>
      <c r="F206" s="1">
        <v>41953</v>
      </c>
      <c r="G206" s="7">
        <v>66738</v>
      </c>
      <c r="H206" t="s">
        <v>499</v>
      </c>
      <c r="I206" s="1">
        <v>31374</v>
      </c>
      <c r="J206" t="s">
        <v>22</v>
      </c>
      <c r="K206" t="s">
        <v>23</v>
      </c>
      <c r="L206" t="s">
        <v>24</v>
      </c>
      <c r="M206" t="s">
        <v>21</v>
      </c>
      <c r="N206">
        <v>1040</v>
      </c>
      <c r="P206" t="s">
        <v>512</v>
      </c>
      <c r="Q206" t="s">
        <v>25</v>
      </c>
      <c r="R206" t="s">
        <v>35</v>
      </c>
      <c r="S206" t="s">
        <v>36</v>
      </c>
      <c r="T206">
        <v>4.53</v>
      </c>
      <c r="U206">
        <v>5</v>
      </c>
      <c r="V206" s="1">
        <v>43481</v>
      </c>
      <c r="W206">
        <v>5</v>
      </c>
      <c r="X206" t="str">
        <f>INDEX(Position!B:B,MATCH(Table1[[#This Row],[Position ID]],Position!A:A, 0 ))</f>
        <v>Production Technician II</v>
      </c>
      <c r="Y206" t="str">
        <f>INDEX(Department!B:B,MATCH(Table1[[#This Row],[Department ID]],Department!A:A,0))</f>
        <v>Production</v>
      </c>
      <c r="Z206" t="str">
        <f>INDEX(Manager!B:B,MATCH(Table1[[#This Row],[Manger ID]],Manager!A:A,0))</f>
        <v>Elijiah Gray</v>
      </c>
      <c r="AA206">
        <f ca="1">DATEDIF(Table1[[#This Row],[DOB]],TODAY(), "Y")</f>
        <v>38</v>
      </c>
      <c r="AB206" t="str">
        <f ca="1">IF(Table1[[#This Row],[ Age]]&lt;18,"Less than 18",IF(Table1[[#This Row],[ Age]]&lt;=29,"18-29",IF(Table1[[#This Row],[ Age]]&lt;=49,"30-49",IF(Table1[[#This Row],[ Age]]&lt;=59,"50-59","60 or more"))))</f>
        <v>30-49</v>
      </c>
      <c r="AC206" s="8">
        <f ca="1">IF(ISBLANK(Table1[[#This Row],[DateofTermination]]),DATEDIF(Table1[[#This Row],[DateofHire]],TODAY(), "M"),DATEDIF(Table1[[#This Row],[DateofHire]],Table1[[#This Row],[DateofTermination]],"M"))/12</f>
        <v>9.3333333333333339</v>
      </c>
      <c r="AD206" t="str">
        <f>IF(Table1[[#This Row],[EmpSatisfaction]]=1,"Very Dissatisfied", IF(Table1[[#This Row],[EmpSatisfaction]] = 2, "Dissatisfied", IF(Table1[[#This Row],[EmpSatisfaction]]  = 3, "Neutral", IF(Table1[[#This Row],[EmpSatisfaction]] = 4, "Satisfied", IF(Table1[[#This Row],[EmpSatisfaction]]=5,"Very Satisfied", " ")))))</f>
        <v>Very Satisfied</v>
      </c>
      <c r="AE206">
        <f>YEAR(Table1[[#This Row],[DateofHire]])</f>
        <v>2014</v>
      </c>
      <c r="AF206" t="s">
        <v>25</v>
      </c>
    </row>
    <row r="207" spans="1:32" hidden="1" x14ac:dyDescent="0.3">
      <c r="A207" t="s">
        <v>325</v>
      </c>
      <c r="B207">
        <v>10303</v>
      </c>
      <c r="C207" t="s">
        <v>474</v>
      </c>
      <c r="D207" t="s">
        <v>489</v>
      </c>
      <c r="E207">
        <v>10196</v>
      </c>
      <c r="F207" s="1">
        <v>41729</v>
      </c>
      <c r="G207" s="7">
        <v>52674</v>
      </c>
      <c r="H207" t="s">
        <v>499</v>
      </c>
      <c r="I207" s="1">
        <v>29494</v>
      </c>
      <c r="J207" t="s">
        <v>22</v>
      </c>
      <c r="K207" t="s">
        <v>23</v>
      </c>
      <c r="L207" t="s">
        <v>70</v>
      </c>
      <c r="M207" t="s">
        <v>21</v>
      </c>
      <c r="N207">
        <v>2152</v>
      </c>
      <c r="O207" s="1">
        <v>43221</v>
      </c>
      <c r="P207" t="s">
        <v>519</v>
      </c>
      <c r="Q207" t="s">
        <v>75</v>
      </c>
      <c r="R207" t="s">
        <v>27</v>
      </c>
      <c r="S207" t="s">
        <v>158</v>
      </c>
      <c r="T207">
        <v>2.33</v>
      </c>
      <c r="U207">
        <v>2</v>
      </c>
      <c r="V207" s="1">
        <v>43168</v>
      </c>
      <c r="W207">
        <v>3</v>
      </c>
      <c r="X207" t="str">
        <f>INDEX(Position!B:B,MATCH(Table1[[#This Row],[Position ID]],Position!A:A, 0 ))</f>
        <v>Production Technician I</v>
      </c>
      <c r="Y207" t="str">
        <f>INDEX(Department!B:B,MATCH(Table1[[#This Row],[Department ID]],Department!A:A,0))</f>
        <v>Production</v>
      </c>
      <c r="Z207" t="str">
        <f>INDEX(Manager!B:B,MATCH(Table1[[#This Row],[Manger ID]],Manager!A:A,0))</f>
        <v>Kissy Sullivan</v>
      </c>
      <c r="AA207">
        <f ca="1">DATEDIF(Table1[[#This Row],[DOB]],TODAY(), "Y")</f>
        <v>43</v>
      </c>
      <c r="AB207" t="str">
        <f ca="1">IF(Table1[[#This Row],[ Age]]&lt;18,"Less than 18",IF(Table1[[#This Row],[ Age]]&lt;=29,"18-29",IF(Table1[[#This Row],[ Age]]&lt;=49,"30-49",IF(Table1[[#This Row],[ Age]]&lt;=59,"50-59","60 or more"))))</f>
        <v>30-49</v>
      </c>
      <c r="AC207" s="8">
        <f ca="1">IF(ISBLANK(Table1[[#This Row],[DateofTermination]]),DATEDIF(Table1[[#This Row],[DateofHire]],TODAY(), "M"),DATEDIF(Table1[[#This Row],[DateofHire]],Table1[[#This Row],[DateofTermination]],"M"))/12</f>
        <v>4.083333333333333</v>
      </c>
      <c r="AD207" t="str">
        <f>IF(Table1[[#This Row],[EmpSatisfaction]]=1,"Very Dissatisfied", IF(Table1[[#This Row],[EmpSatisfaction]] = 2, "Dissatisfied", IF(Table1[[#This Row],[EmpSatisfaction]]  = 3, "Neutral", IF(Table1[[#This Row],[EmpSatisfaction]] = 4, "Satisfied", IF(Table1[[#This Row],[EmpSatisfaction]]=5,"Very Satisfied", " ")))))</f>
        <v>Dissatisfied</v>
      </c>
      <c r="AE207">
        <f>YEAR(Table1[[#This Row],[DateofHire]])</f>
        <v>2014</v>
      </c>
      <c r="AF207" t="s">
        <v>535</v>
      </c>
    </row>
    <row r="208" spans="1:32" hidden="1" x14ac:dyDescent="0.3">
      <c r="A208" t="s">
        <v>326</v>
      </c>
      <c r="B208">
        <v>10078</v>
      </c>
      <c r="C208" t="s">
        <v>475</v>
      </c>
      <c r="D208" t="s">
        <v>489</v>
      </c>
      <c r="E208">
        <v>10069</v>
      </c>
      <c r="F208" s="1">
        <v>41043</v>
      </c>
      <c r="G208" s="7">
        <v>71966</v>
      </c>
      <c r="H208" t="s">
        <v>499</v>
      </c>
      <c r="I208" s="1">
        <v>19035</v>
      </c>
      <c r="J208" t="s">
        <v>31</v>
      </c>
      <c r="K208" t="s">
        <v>23</v>
      </c>
      <c r="L208" t="s">
        <v>82</v>
      </c>
      <c r="M208" t="s">
        <v>21</v>
      </c>
      <c r="N208">
        <v>2492</v>
      </c>
      <c r="O208" s="1">
        <v>41505</v>
      </c>
      <c r="P208" t="s">
        <v>517</v>
      </c>
      <c r="Q208" t="s">
        <v>32</v>
      </c>
      <c r="R208" t="s">
        <v>27</v>
      </c>
      <c r="S208" t="s">
        <v>36</v>
      </c>
      <c r="T208">
        <v>5</v>
      </c>
      <c r="U208">
        <v>3</v>
      </c>
      <c r="V208" s="1">
        <v>41457</v>
      </c>
      <c r="W208">
        <v>17</v>
      </c>
      <c r="X208" t="str">
        <f>INDEX(Position!B:B,MATCH(Table1[[#This Row],[Position ID]],Position!A:A, 0 ))</f>
        <v>Production Technician II</v>
      </c>
      <c r="Y208" t="str">
        <f>INDEX(Department!B:B,MATCH(Table1[[#This Row],[Department ID]],Department!A:A,0))</f>
        <v>Production</v>
      </c>
      <c r="Z208" t="str">
        <f>INDEX(Manager!B:B,MATCH(Table1[[#This Row],[Manger ID]],Manager!A:A,0))</f>
        <v>Webster Butler</v>
      </c>
      <c r="AA208">
        <f ca="1">DATEDIF(Table1[[#This Row],[DOB]],TODAY(), "Y")</f>
        <v>72</v>
      </c>
      <c r="AB208" t="str">
        <f ca="1">IF(Table1[[#This Row],[ Age]]&lt;18,"Less than 18",IF(Table1[[#This Row],[ Age]]&lt;=29,"18-29",IF(Table1[[#This Row],[ Age]]&lt;=49,"30-49",IF(Table1[[#This Row],[ Age]]&lt;=59,"50-59","60 or more"))))</f>
        <v>60 or more</v>
      </c>
      <c r="AC208" s="8">
        <f ca="1">IF(ISBLANK(Table1[[#This Row],[DateofTermination]]),DATEDIF(Table1[[#This Row],[DateofHire]],TODAY(), "M"),DATEDIF(Table1[[#This Row],[DateofHire]],Table1[[#This Row],[DateofTermination]],"M"))/12</f>
        <v>1.25</v>
      </c>
      <c r="AD208" t="str">
        <f>IF(Table1[[#This Row],[EmpSatisfaction]]=1,"Very Dissatisfied", IF(Table1[[#This Row],[EmpSatisfaction]] = 2, "Dissatisfied", IF(Table1[[#This Row],[EmpSatisfaction]]  = 3, "Neutral", IF(Table1[[#This Row],[EmpSatisfaction]] = 4, "Satisfied", IF(Table1[[#This Row],[EmpSatisfaction]]=5,"Very Satisfied", " ")))))</f>
        <v>Neutral</v>
      </c>
      <c r="AE208">
        <f>YEAR(Table1[[#This Row],[DateofHire]])</f>
        <v>2012</v>
      </c>
      <c r="AF208" t="s">
        <v>535</v>
      </c>
    </row>
    <row r="209" spans="1:32" x14ac:dyDescent="0.3">
      <c r="A209" t="s">
        <v>327</v>
      </c>
      <c r="B209">
        <v>10121</v>
      </c>
      <c r="C209" t="s">
        <v>454</v>
      </c>
      <c r="D209" t="s">
        <v>490</v>
      </c>
      <c r="E209">
        <v>10200</v>
      </c>
      <c r="F209" s="1">
        <v>41547</v>
      </c>
      <c r="G209" s="7">
        <v>63051</v>
      </c>
      <c r="H209" t="s">
        <v>499</v>
      </c>
      <c r="I209" s="1">
        <v>33004</v>
      </c>
      <c r="J209" t="s">
        <v>22</v>
      </c>
      <c r="K209" t="s">
        <v>23</v>
      </c>
      <c r="L209" t="s">
        <v>24</v>
      </c>
      <c r="M209" t="s">
        <v>328</v>
      </c>
      <c r="N209">
        <v>33174</v>
      </c>
      <c r="P209" t="s">
        <v>512</v>
      </c>
      <c r="Q209" t="s">
        <v>25</v>
      </c>
      <c r="R209" t="s">
        <v>35</v>
      </c>
      <c r="S209" t="s">
        <v>36</v>
      </c>
      <c r="T209">
        <v>4.28</v>
      </c>
      <c r="U209">
        <v>3</v>
      </c>
      <c r="V209" s="1">
        <v>43490</v>
      </c>
      <c r="W209">
        <v>1</v>
      </c>
      <c r="X209" t="str">
        <f>INDEX(Position!B:B,MATCH(Table1[[#This Row],[Position ID]],Position!A:A, 0 ))</f>
        <v>Area Sales Manager</v>
      </c>
      <c r="Y209" t="str">
        <f>INDEX(Department!B:B,MATCH(Table1[[#This Row],[Department ID]],Department!A:A,0))</f>
        <v>Sales</v>
      </c>
      <c r="Z209" t="str">
        <f>INDEX(Manager!B:B,MATCH(Table1[[#This Row],[Manger ID]],Manager!A:A,0))</f>
        <v>Lynn Daneault</v>
      </c>
      <c r="AA209">
        <f ca="1">DATEDIF(Table1[[#This Row],[DOB]],TODAY(), "Y")</f>
        <v>33</v>
      </c>
      <c r="AB209" t="str">
        <f ca="1">IF(Table1[[#This Row],[ Age]]&lt;18,"Less than 18",IF(Table1[[#This Row],[ Age]]&lt;=29,"18-29",IF(Table1[[#This Row],[ Age]]&lt;=49,"30-49",IF(Table1[[#This Row],[ Age]]&lt;=59,"50-59","60 or more"))))</f>
        <v>30-49</v>
      </c>
      <c r="AC209" s="8">
        <f ca="1">IF(ISBLANK(Table1[[#This Row],[DateofTermination]]),DATEDIF(Table1[[#This Row],[DateofHire]],TODAY(), "M"),DATEDIF(Table1[[#This Row],[DateofHire]],Table1[[#This Row],[DateofTermination]],"M"))/12</f>
        <v>10.5</v>
      </c>
      <c r="AD209" t="str">
        <f>IF(Table1[[#This Row],[EmpSatisfaction]]=1,"Very Dissatisfied", IF(Table1[[#This Row],[EmpSatisfaction]] = 2, "Dissatisfied", IF(Table1[[#This Row],[EmpSatisfaction]]  = 3, "Neutral", IF(Table1[[#This Row],[EmpSatisfaction]] = 4, "Satisfied", IF(Table1[[#This Row],[EmpSatisfaction]]=5,"Very Satisfied", " ")))))</f>
        <v>Neutral</v>
      </c>
      <c r="AE209">
        <f>YEAR(Table1[[#This Row],[DateofHire]])</f>
        <v>2013</v>
      </c>
      <c r="AF209" t="s">
        <v>25</v>
      </c>
    </row>
    <row r="210" spans="1:32" x14ac:dyDescent="0.3">
      <c r="A210" t="s">
        <v>329</v>
      </c>
      <c r="B210">
        <v>10021</v>
      </c>
      <c r="C210" t="s">
        <v>474</v>
      </c>
      <c r="D210" t="s">
        <v>489</v>
      </c>
      <c r="E210">
        <v>10265</v>
      </c>
      <c r="F210" s="1">
        <v>41547</v>
      </c>
      <c r="G210" s="7">
        <v>47414</v>
      </c>
      <c r="H210" t="s">
        <v>498</v>
      </c>
      <c r="I210" s="1">
        <v>28105</v>
      </c>
      <c r="J210" t="s">
        <v>31</v>
      </c>
      <c r="K210" t="s">
        <v>23</v>
      </c>
      <c r="L210" t="s">
        <v>24</v>
      </c>
      <c r="M210" t="s">
        <v>21</v>
      </c>
      <c r="N210">
        <v>2478</v>
      </c>
      <c r="P210" t="s">
        <v>512</v>
      </c>
      <c r="Q210" t="s">
        <v>25</v>
      </c>
      <c r="R210" t="s">
        <v>27</v>
      </c>
      <c r="S210" t="s">
        <v>28</v>
      </c>
      <c r="T210">
        <v>5</v>
      </c>
      <c r="U210">
        <v>3</v>
      </c>
      <c r="V210" s="1">
        <v>43503</v>
      </c>
      <c r="W210">
        <v>13</v>
      </c>
      <c r="X210" t="str">
        <f>INDEX(Position!B:B,MATCH(Table1[[#This Row],[Position ID]],Position!A:A, 0 ))</f>
        <v>Production Technician I</v>
      </c>
      <c r="Y210" t="str">
        <f>INDEX(Department!B:B,MATCH(Table1[[#This Row],[Department ID]],Department!A:A,0))</f>
        <v>Production</v>
      </c>
      <c r="Z210" t="str">
        <f>INDEX(Manager!B:B,MATCH(Table1[[#This Row],[Manger ID]],Manager!A:A,0))</f>
        <v>Kelley Spirea</v>
      </c>
      <c r="AA210">
        <f ca="1">DATEDIF(Table1[[#This Row],[DOB]],TODAY(), "Y")</f>
        <v>47</v>
      </c>
      <c r="AB210" t="str">
        <f ca="1">IF(Table1[[#This Row],[ Age]]&lt;18,"Less than 18",IF(Table1[[#This Row],[ Age]]&lt;=29,"18-29",IF(Table1[[#This Row],[ Age]]&lt;=49,"30-49",IF(Table1[[#This Row],[ Age]]&lt;=59,"50-59","60 or more"))))</f>
        <v>30-49</v>
      </c>
      <c r="AC210" s="8">
        <f ca="1">IF(ISBLANK(Table1[[#This Row],[DateofTermination]]),DATEDIF(Table1[[#This Row],[DateofHire]],TODAY(), "M"),DATEDIF(Table1[[#This Row],[DateofHire]],Table1[[#This Row],[DateofTermination]],"M"))/12</f>
        <v>10.5</v>
      </c>
      <c r="AD210" t="str">
        <f>IF(Table1[[#This Row],[EmpSatisfaction]]=1,"Very Dissatisfied", IF(Table1[[#This Row],[EmpSatisfaction]] = 2, "Dissatisfied", IF(Table1[[#This Row],[EmpSatisfaction]]  = 3, "Neutral", IF(Table1[[#This Row],[EmpSatisfaction]] = 4, "Satisfied", IF(Table1[[#This Row],[EmpSatisfaction]]=5,"Very Satisfied", " ")))))</f>
        <v>Neutral</v>
      </c>
      <c r="AE210">
        <f>YEAR(Table1[[#This Row],[DateofHire]])</f>
        <v>2013</v>
      </c>
      <c r="AF210" t="s">
        <v>25</v>
      </c>
    </row>
    <row r="211" spans="1:32" x14ac:dyDescent="0.3">
      <c r="A211" t="s">
        <v>330</v>
      </c>
      <c r="B211">
        <v>10281</v>
      </c>
      <c r="C211" t="s">
        <v>474</v>
      </c>
      <c r="D211" t="s">
        <v>489</v>
      </c>
      <c r="E211">
        <v>10026</v>
      </c>
      <c r="F211" s="1">
        <v>41687</v>
      </c>
      <c r="G211" s="7">
        <v>53060</v>
      </c>
      <c r="H211" t="s">
        <v>498</v>
      </c>
      <c r="I211" s="1">
        <v>29183</v>
      </c>
      <c r="J211" t="s">
        <v>22</v>
      </c>
      <c r="K211" t="s">
        <v>23</v>
      </c>
      <c r="L211" t="s">
        <v>57</v>
      </c>
      <c r="M211" t="s">
        <v>21</v>
      </c>
      <c r="N211">
        <v>1760</v>
      </c>
      <c r="P211" t="s">
        <v>512</v>
      </c>
      <c r="Q211" t="s">
        <v>25</v>
      </c>
      <c r="R211" t="s">
        <v>27</v>
      </c>
      <c r="S211" t="s">
        <v>88</v>
      </c>
      <c r="T211">
        <v>4.25</v>
      </c>
      <c r="U211">
        <v>3</v>
      </c>
      <c r="V211" s="1">
        <v>43500</v>
      </c>
      <c r="W211">
        <v>6</v>
      </c>
      <c r="X211" t="str">
        <f>INDEX(Position!B:B,MATCH(Table1[[#This Row],[Position ID]],Position!A:A, 0 ))</f>
        <v>Production Technician I</v>
      </c>
      <c r="Y211" t="str">
        <f>INDEX(Department!B:B,MATCH(Table1[[#This Row],[Department ID]],Department!A:A,0))</f>
        <v>Production</v>
      </c>
      <c r="Z211" t="str">
        <f>INDEX(Manager!B:B,MATCH(Table1[[#This Row],[Manger ID]],Manager!A:A,0))</f>
        <v>Michael Albert</v>
      </c>
      <c r="AA211">
        <f ca="1">DATEDIF(Table1[[#This Row],[DOB]],TODAY(), "Y")</f>
        <v>44</v>
      </c>
      <c r="AB211" t="str">
        <f ca="1">IF(Table1[[#This Row],[ Age]]&lt;18,"Less than 18",IF(Table1[[#This Row],[ Age]]&lt;=29,"18-29",IF(Table1[[#This Row],[ Age]]&lt;=49,"30-49",IF(Table1[[#This Row],[ Age]]&lt;=59,"50-59","60 or more"))))</f>
        <v>30-49</v>
      </c>
      <c r="AC211" s="8">
        <f ca="1">IF(ISBLANK(Table1[[#This Row],[DateofTermination]]),DATEDIF(Table1[[#This Row],[DateofHire]],TODAY(), "M"),DATEDIF(Table1[[#This Row],[DateofHire]],Table1[[#This Row],[DateofTermination]],"M"))/12</f>
        <v>10.083333333333334</v>
      </c>
      <c r="AD211" t="str">
        <f>IF(Table1[[#This Row],[EmpSatisfaction]]=1,"Very Dissatisfied", IF(Table1[[#This Row],[EmpSatisfaction]] = 2, "Dissatisfied", IF(Table1[[#This Row],[EmpSatisfaction]]  = 3, "Neutral", IF(Table1[[#This Row],[EmpSatisfaction]] = 4, "Satisfied", IF(Table1[[#This Row],[EmpSatisfaction]]=5,"Very Satisfied", " ")))))</f>
        <v>Neutral</v>
      </c>
      <c r="AE211">
        <f>YEAR(Table1[[#This Row],[DateofHire]])</f>
        <v>2014</v>
      </c>
      <c r="AF211" t="s">
        <v>25</v>
      </c>
    </row>
    <row r="212" spans="1:32" x14ac:dyDescent="0.3">
      <c r="A212" t="s">
        <v>331</v>
      </c>
      <c r="B212">
        <v>10041</v>
      </c>
      <c r="C212" t="s">
        <v>454</v>
      </c>
      <c r="D212" t="s">
        <v>490</v>
      </c>
      <c r="E212">
        <v>10188</v>
      </c>
      <c r="F212" s="1">
        <v>42009</v>
      </c>
      <c r="G212" s="7">
        <v>68829</v>
      </c>
      <c r="H212" t="s">
        <v>498</v>
      </c>
      <c r="I212" s="1">
        <v>30090</v>
      </c>
      <c r="J212" t="s">
        <v>22</v>
      </c>
      <c r="K212" t="s">
        <v>23</v>
      </c>
      <c r="L212" t="s">
        <v>24</v>
      </c>
      <c r="M212" t="s">
        <v>332</v>
      </c>
      <c r="N212">
        <v>27229</v>
      </c>
      <c r="P212" t="s">
        <v>512</v>
      </c>
      <c r="Q212" t="s">
        <v>25</v>
      </c>
      <c r="R212" t="s">
        <v>167</v>
      </c>
      <c r="S212" t="s">
        <v>36</v>
      </c>
      <c r="T212">
        <v>5</v>
      </c>
      <c r="U212">
        <v>5</v>
      </c>
      <c r="V212" s="1">
        <v>43479</v>
      </c>
      <c r="W212">
        <v>18</v>
      </c>
      <c r="X212" t="str">
        <f>INDEX(Position!B:B,MATCH(Table1[[#This Row],[Position ID]],Position!A:A, 0 ))</f>
        <v>Area Sales Manager</v>
      </c>
      <c r="Y212" t="str">
        <f>INDEX(Department!B:B,MATCH(Table1[[#This Row],[Department ID]],Department!A:A,0))</f>
        <v>Sales</v>
      </c>
      <c r="Z212" t="str">
        <f>INDEX(Manager!B:B,MATCH(Table1[[#This Row],[Manger ID]],Manager!A:A,0))</f>
        <v>John Smith</v>
      </c>
      <c r="AA212">
        <f ca="1">DATEDIF(Table1[[#This Row],[DOB]],TODAY(), "Y")</f>
        <v>41</v>
      </c>
      <c r="AB212" t="str">
        <f ca="1">IF(Table1[[#This Row],[ Age]]&lt;18,"Less than 18",IF(Table1[[#This Row],[ Age]]&lt;=29,"18-29",IF(Table1[[#This Row],[ Age]]&lt;=49,"30-49",IF(Table1[[#This Row],[ Age]]&lt;=59,"50-59","60 or more"))))</f>
        <v>30-49</v>
      </c>
      <c r="AC212" s="8">
        <f ca="1">IF(ISBLANK(Table1[[#This Row],[DateofTermination]]),DATEDIF(Table1[[#This Row],[DateofHire]],TODAY(), "M"),DATEDIF(Table1[[#This Row],[DateofHire]],Table1[[#This Row],[DateofTermination]],"M"))/12</f>
        <v>9.25</v>
      </c>
      <c r="AD212" t="str">
        <f>IF(Table1[[#This Row],[EmpSatisfaction]]=1,"Very Dissatisfied", IF(Table1[[#This Row],[EmpSatisfaction]] = 2, "Dissatisfied", IF(Table1[[#This Row],[EmpSatisfaction]]  = 3, "Neutral", IF(Table1[[#This Row],[EmpSatisfaction]] = 4, "Satisfied", IF(Table1[[#This Row],[EmpSatisfaction]]=5,"Very Satisfied", " ")))))</f>
        <v>Very Satisfied</v>
      </c>
      <c r="AE212">
        <f>YEAR(Table1[[#This Row],[DateofHire]])</f>
        <v>2015</v>
      </c>
      <c r="AF212" t="s">
        <v>25</v>
      </c>
    </row>
    <row r="213" spans="1:32" hidden="1" x14ac:dyDescent="0.3">
      <c r="A213" t="s">
        <v>333</v>
      </c>
      <c r="B213">
        <v>10148</v>
      </c>
      <c r="C213" t="s">
        <v>474</v>
      </c>
      <c r="D213" t="s">
        <v>489</v>
      </c>
      <c r="E213">
        <v>10088</v>
      </c>
      <c r="F213" s="1">
        <v>40581</v>
      </c>
      <c r="G213" s="7">
        <v>63515</v>
      </c>
      <c r="H213" t="s">
        <v>499</v>
      </c>
      <c r="I213" s="1">
        <v>28976</v>
      </c>
      <c r="J213" t="s">
        <v>31</v>
      </c>
      <c r="K213" t="s">
        <v>23</v>
      </c>
      <c r="L213" t="s">
        <v>24</v>
      </c>
      <c r="M213" t="s">
        <v>21</v>
      </c>
      <c r="N213">
        <v>2351</v>
      </c>
      <c r="O213" s="1">
        <v>41651</v>
      </c>
      <c r="P213" t="s">
        <v>516</v>
      </c>
      <c r="Q213" t="s">
        <v>32</v>
      </c>
      <c r="R213" t="s">
        <v>45</v>
      </c>
      <c r="S213" t="s">
        <v>36</v>
      </c>
      <c r="T213">
        <v>3.89</v>
      </c>
      <c r="U213">
        <v>4</v>
      </c>
      <c r="V213" s="1">
        <v>41337</v>
      </c>
      <c r="W213">
        <v>7</v>
      </c>
      <c r="X213" t="str">
        <f>INDEX(Position!B:B,MATCH(Table1[[#This Row],[Position ID]],Position!A:A, 0 ))</f>
        <v>Production Technician I</v>
      </c>
      <c r="Y213" t="str">
        <f>INDEX(Department!B:B,MATCH(Table1[[#This Row],[Department ID]],Department!A:A,0))</f>
        <v>Production</v>
      </c>
      <c r="Z213" t="str">
        <f>INDEX(Manager!B:B,MATCH(Table1[[#This Row],[Manger ID]],Manager!A:A,0))</f>
        <v>Elijiah Gray</v>
      </c>
      <c r="AA213">
        <f ca="1">DATEDIF(Table1[[#This Row],[DOB]],TODAY(), "Y")</f>
        <v>44</v>
      </c>
      <c r="AB213" t="str">
        <f ca="1">IF(Table1[[#This Row],[ Age]]&lt;18,"Less than 18",IF(Table1[[#This Row],[ Age]]&lt;=29,"18-29",IF(Table1[[#This Row],[ Age]]&lt;=49,"30-49",IF(Table1[[#This Row],[ Age]]&lt;=59,"50-59","60 or more"))))</f>
        <v>30-49</v>
      </c>
      <c r="AC213" s="8">
        <f ca="1">IF(ISBLANK(Table1[[#This Row],[DateofTermination]]),DATEDIF(Table1[[#This Row],[DateofHire]],TODAY(), "M"),DATEDIF(Table1[[#This Row],[DateofHire]],Table1[[#This Row],[DateofTermination]],"M"))/12</f>
        <v>2.9166666666666665</v>
      </c>
      <c r="AD213" t="str">
        <f>IF(Table1[[#This Row],[EmpSatisfaction]]=1,"Very Dissatisfied", IF(Table1[[#This Row],[EmpSatisfaction]] = 2, "Dissatisfied", IF(Table1[[#This Row],[EmpSatisfaction]]  = 3, "Neutral", IF(Table1[[#This Row],[EmpSatisfaction]] = 4, "Satisfied", IF(Table1[[#This Row],[EmpSatisfaction]]=5,"Very Satisfied", " ")))))</f>
        <v>Satisfied</v>
      </c>
      <c r="AE213">
        <f>YEAR(Table1[[#This Row],[DateofHire]])</f>
        <v>2011</v>
      </c>
      <c r="AF213" t="s">
        <v>535</v>
      </c>
    </row>
    <row r="214" spans="1:32" hidden="1" x14ac:dyDescent="0.3">
      <c r="A214" t="s">
        <v>334</v>
      </c>
      <c r="B214">
        <v>10005</v>
      </c>
      <c r="C214" t="s">
        <v>479</v>
      </c>
      <c r="D214" t="s">
        <v>491</v>
      </c>
      <c r="E214">
        <v>10194</v>
      </c>
      <c r="F214" s="1">
        <v>40854</v>
      </c>
      <c r="G214" s="7">
        <v>108987</v>
      </c>
      <c r="H214" t="s">
        <v>498</v>
      </c>
      <c r="I214" s="1">
        <v>28906</v>
      </c>
      <c r="J214" t="s">
        <v>22</v>
      </c>
      <c r="K214" t="s">
        <v>23</v>
      </c>
      <c r="L214" t="s">
        <v>57</v>
      </c>
      <c r="M214" t="s">
        <v>21</v>
      </c>
      <c r="N214">
        <v>1844</v>
      </c>
      <c r="O214" s="1">
        <v>42254</v>
      </c>
      <c r="P214" t="s">
        <v>516</v>
      </c>
      <c r="Q214" t="s">
        <v>32</v>
      </c>
      <c r="R214" t="s">
        <v>59</v>
      </c>
      <c r="S214" t="s">
        <v>28</v>
      </c>
      <c r="T214">
        <v>5</v>
      </c>
      <c r="U214">
        <v>5</v>
      </c>
      <c r="V214" s="1">
        <v>42232</v>
      </c>
      <c r="W214">
        <v>13</v>
      </c>
      <c r="X214" t="str">
        <f>INDEX(Position!B:B,MATCH(Table1[[#This Row],[Position ID]],Position!A:A, 0 ))</f>
        <v>Software Engineer</v>
      </c>
      <c r="Y214" t="str">
        <f>INDEX(Department!B:B,MATCH(Table1[[#This Row],[Department ID]],Department!A:A,0))</f>
        <v>Software Engineering</v>
      </c>
      <c r="Z214" t="str">
        <f>INDEX(Manager!B:B,MATCH(Table1[[#This Row],[Manger ID]],Manager!A:A,0))</f>
        <v>Alex Sweetwater</v>
      </c>
      <c r="AA214">
        <f ca="1">DATEDIF(Table1[[#This Row],[DOB]],TODAY(), "Y")</f>
        <v>45</v>
      </c>
      <c r="AB214" t="str">
        <f ca="1">IF(Table1[[#This Row],[ Age]]&lt;18,"Less than 18",IF(Table1[[#This Row],[ Age]]&lt;=29,"18-29",IF(Table1[[#This Row],[ Age]]&lt;=49,"30-49",IF(Table1[[#This Row],[ Age]]&lt;=59,"50-59","60 or more"))))</f>
        <v>30-49</v>
      </c>
      <c r="AC214" s="8">
        <f ca="1">IF(ISBLANK(Table1[[#This Row],[DateofTermination]]),DATEDIF(Table1[[#This Row],[DateofHire]],TODAY(), "M"),DATEDIF(Table1[[#This Row],[DateofHire]],Table1[[#This Row],[DateofTermination]],"M"))/12</f>
        <v>3.8333333333333335</v>
      </c>
      <c r="AD214" t="str">
        <f>IF(Table1[[#This Row],[EmpSatisfaction]]=1,"Very Dissatisfied", IF(Table1[[#This Row],[EmpSatisfaction]] = 2, "Dissatisfied", IF(Table1[[#This Row],[EmpSatisfaction]]  = 3, "Neutral", IF(Table1[[#This Row],[EmpSatisfaction]] = 4, "Satisfied", IF(Table1[[#This Row],[EmpSatisfaction]]=5,"Very Satisfied", " ")))))</f>
        <v>Very Satisfied</v>
      </c>
      <c r="AE214">
        <f>YEAR(Table1[[#This Row],[DateofHire]])</f>
        <v>2011</v>
      </c>
      <c r="AF214" t="s">
        <v>535</v>
      </c>
    </row>
    <row r="215" spans="1:32" hidden="1" x14ac:dyDescent="0.3">
      <c r="A215" t="s">
        <v>335</v>
      </c>
      <c r="B215">
        <v>10259</v>
      </c>
      <c r="C215" t="s">
        <v>458</v>
      </c>
      <c r="D215" t="s">
        <v>488</v>
      </c>
      <c r="E215">
        <v>10084</v>
      </c>
      <c r="F215" s="1">
        <v>41974</v>
      </c>
      <c r="G215" s="7">
        <v>93093</v>
      </c>
      <c r="H215" t="s">
        <v>498</v>
      </c>
      <c r="I215" s="1">
        <v>30930</v>
      </c>
      <c r="J215" t="s">
        <v>31</v>
      </c>
      <c r="K215" t="s">
        <v>23</v>
      </c>
      <c r="L215" t="s">
        <v>24</v>
      </c>
      <c r="M215" t="s">
        <v>21</v>
      </c>
      <c r="N215">
        <v>2747</v>
      </c>
      <c r="O215" s="1">
        <v>42491</v>
      </c>
      <c r="P215" t="s">
        <v>519</v>
      </c>
      <c r="Q215" t="s">
        <v>32</v>
      </c>
      <c r="R215" t="s">
        <v>55</v>
      </c>
      <c r="S215" t="s">
        <v>36</v>
      </c>
      <c r="T215">
        <v>4.7</v>
      </c>
      <c r="U215">
        <v>4</v>
      </c>
      <c r="V215" s="1">
        <v>42385</v>
      </c>
      <c r="W215">
        <v>19</v>
      </c>
      <c r="X215" t="str">
        <f>INDEX(Position!B:B,MATCH(Table1[[#This Row],[Position ID]],Position!A:A, 0 ))</f>
        <v>Data Analyst</v>
      </c>
      <c r="Y215" t="str">
        <f>INDEX(Department!B:B,MATCH(Table1[[#This Row],[Department ID]],Department!A:A,0))</f>
        <v>IT/IS</v>
      </c>
      <c r="Z215" t="str">
        <f>INDEX(Manager!B:B,MATCH(Table1[[#This Row],[Manger ID]],Manager!A:A,0))</f>
        <v>Simon Roup</v>
      </c>
      <c r="AA215">
        <f ca="1">DATEDIF(Table1[[#This Row],[DOB]],TODAY(), "Y")</f>
        <v>39</v>
      </c>
      <c r="AB215" t="str">
        <f ca="1">IF(Table1[[#This Row],[ Age]]&lt;18,"Less than 18",IF(Table1[[#This Row],[ Age]]&lt;=29,"18-29",IF(Table1[[#This Row],[ Age]]&lt;=49,"30-49",IF(Table1[[#This Row],[ Age]]&lt;=59,"50-59","60 or more"))))</f>
        <v>30-49</v>
      </c>
      <c r="AC215" s="8">
        <f ca="1">IF(ISBLANK(Table1[[#This Row],[DateofTermination]]),DATEDIF(Table1[[#This Row],[DateofHire]],TODAY(), "M"),DATEDIF(Table1[[#This Row],[DateofHire]],Table1[[#This Row],[DateofTermination]],"M"))/12</f>
        <v>1.4166666666666667</v>
      </c>
      <c r="AD215" t="str">
        <f>IF(Table1[[#This Row],[EmpSatisfaction]]=1,"Very Dissatisfied", IF(Table1[[#This Row],[EmpSatisfaction]] = 2, "Dissatisfied", IF(Table1[[#This Row],[EmpSatisfaction]]  = 3, "Neutral", IF(Table1[[#This Row],[EmpSatisfaction]] = 4, "Satisfied", IF(Table1[[#This Row],[EmpSatisfaction]]=5,"Very Satisfied", " ")))))</f>
        <v>Satisfied</v>
      </c>
      <c r="AE215">
        <f>YEAR(Table1[[#This Row],[DateofHire]])</f>
        <v>2014</v>
      </c>
      <c r="AF215" t="s">
        <v>535</v>
      </c>
    </row>
    <row r="216" spans="1:32" hidden="1" x14ac:dyDescent="0.3">
      <c r="A216" t="s">
        <v>336</v>
      </c>
      <c r="B216">
        <v>10286</v>
      </c>
      <c r="C216" t="s">
        <v>474</v>
      </c>
      <c r="D216" t="s">
        <v>489</v>
      </c>
      <c r="E216">
        <v>10069</v>
      </c>
      <c r="F216" s="1">
        <v>40553</v>
      </c>
      <c r="G216" s="7">
        <v>53564</v>
      </c>
      <c r="H216" t="s">
        <v>498</v>
      </c>
      <c r="I216" s="1">
        <v>32219</v>
      </c>
      <c r="J216" t="s">
        <v>22</v>
      </c>
      <c r="K216" t="s">
        <v>23</v>
      </c>
      <c r="L216" t="s">
        <v>57</v>
      </c>
      <c r="M216" t="s">
        <v>21</v>
      </c>
      <c r="N216">
        <v>2458</v>
      </c>
      <c r="O216" s="1">
        <v>43097</v>
      </c>
      <c r="P216" t="s">
        <v>513</v>
      </c>
      <c r="Q216" t="s">
        <v>32</v>
      </c>
      <c r="R216" t="s">
        <v>45</v>
      </c>
      <c r="S216" t="s">
        <v>88</v>
      </c>
      <c r="T216">
        <v>3.54</v>
      </c>
      <c r="U216">
        <v>5</v>
      </c>
      <c r="V216" s="1">
        <v>42831</v>
      </c>
      <c r="W216">
        <v>15</v>
      </c>
      <c r="X216" t="str">
        <f>INDEX(Position!B:B,MATCH(Table1[[#This Row],[Position ID]],Position!A:A, 0 ))</f>
        <v>Production Technician I</v>
      </c>
      <c r="Y216" t="str">
        <f>INDEX(Department!B:B,MATCH(Table1[[#This Row],[Department ID]],Department!A:A,0))</f>
        <v>Production</v>
      </c>
      <c r="Z216" t="str">
        <f>INDEX(Manager!B:B,MATCH(Table1[[#This Row],[Manger ID]],Manager!A:A,0))</f>
        <v>Webster Butler</v>
      </c>
      <c r="AA216">
        <f ca="1">DATEDIF(Table1[[#This Row],[DOB]],TODAY(), "Y")</f>
        <v>36</v>
      </c>
      <c r="AB216" t="str">
        <f ca="1">IF(Table1[[#This Row],[ Age]]&lt;18,"Less than 18",IF(Table1[[#This Row],[ Age]]&lt;=29,"18-29",IF(Table1[[#This Row],[ Age]]&lt;=49,"30-49",IF(Table1[[#This Row],[ Age]]&lt;=59,"50-59","60 or more"))))</f>
        <v>30-49</v>
      </c>
      <c r="AC216" s="8">
        <f ca="1">IF(ISBLANK(Table1[[#This Row],[DateofTermination]]),DATEDIF(Table1[[#This Row],[DateofHire]],TODAY(), "M"),DATEDIF(Table1[[#This Row],[DateofHire]],Table1[[#This Row],[DateofTermination]],"M"))/12</f>
        <v>6.916666666666667</v>
      </c>
      <c r="AD216" t="str">
        <f>IF(Table1[[#This Row],[EmpSatisfaction]]=1,"Very Dissatisfied", IF(Table1[[#This Row],[EmpSatisfaction]] = 2, "Dissatisfied", IF(Table1[[#This Row],[EmpSatisfaction]]  = 3, "Neutral", IF(Table1[[#This Row],[EmpSatisfaction]] = 4, "Satisfied", IF(Table1[[#This Row],[EmpSatisfaction]]=5,"Very Satisfied", " ")))))</f>
        <v>Very Satisfied</v>
      </c>
      <c r="AE216">
        <f>YEAR(Table1[[#This Row],[DateofHire]])</f>
        <v>2011</v>
      </c>
      <c r="AF216" t="s">
        <v>535</v>
      </c>
    </row>
    <row r="217" spans="1:32" hidden="1" x14ac:dyDescent="0.3">
      <c r="A217" t="s">
        <v>337</v>
      </c>
      <c r="B217">
        <v>10297</v>
      </c>
      <c r="C217" t="s">
        <v>475</v>
      </c>
      <c r="D217" t="s">
        <v>489</v>
      </c>
      <c r="E217">
        <v>10002</v>
      </c>
      <c r="F217" s="1">
        <v>40729</v>
      </c>
      <c r="G217" s="7">
        <v>60270</v>
      </c>
      <c r="H217" t="s">
        <v>499</v>
      </c>
      <c r="I217" s="1">
        <v>32707</v>
      </c>
      <c r="J217" t="s">
        <v>31</v>
      </c>
      <c r="K217" t="s">
        <v>23</v>
      </c>
      <c r="L217" t="s">
        <v>82</v>
      </c>
      <c r="M217" t="s">
        <v>21</v>
      </c>
      <c r="N217">
        <v>2472</v>
      </c>
      <c r="O217" s="1">
        <v>42262</v>
      </c>
      <c r="P217" t="s">
        <v>517</v>
      </c>
      <c r="Q217" t="s">
        <v>32</v>
      </c>
      <c r="R217" t="s">
        <v>87</v>
      </c>
      <c r="S217" t="s">
        <v>88</v>
      </c>
      <c r="T217">
        <v>2.4</v>
      </c>
      <c r="U217">
        <v>5</v>
      </c>
      <c r="V217" s="1">
        <v>42041</v>
      </c>
      <c r="W217">
        <v>2</v>
      </c>
      <c r="X217" t="str">
        <f>INDEX(Position!B:B,MATCH(Table1[[#This Row],[Position ID]],Position!A:A, 0 ))</f>
        <v>Production Technician II</v>
      </c>
      <c r="Y217" t="str">
        <f>INDEX(Department!B:B,MATCH(Table1[[#This Row],[Department ID]],Department!A:A,0))</f>
        <v>Production</v>
      </c>
      <c r="Z217" t="str">
        <f>INDEX(Manager!B:B,MATCH(Table1[[#This Row],[Manger ID]],Manager!A:A,0))</f>
        <v>Amy Dunn</v>
      </c>
      <c r="AA217">
        <f ca="1">DATEDIF(Table1[[#This Row],[DOB]],TODAY(), "Y")</f>
        <v>34</v>
      </c>
      <c r="AB217" t="str">
        <f ca="1">IF(Table1[[#This Row],[ Age]]&lt;18,"Less than 18",IF(Table1[[#This Row],[ Age]]&lt;=29,"18-29",IF(Table1[[#This Row],[ Age]]&lt;=49,"30-49",IF(Table1[[#This Row],[ Age]]&lt;=59,"50-59","60 or more"))))</f>
        <v>30-49</v>
      </c>
      <c r="AC217" s="8">
        <f ca="1">IF(ISBLANK(Table1[[#This Row],[DateofTermination]]),DATEDIF(Table1[[#This Row],[DateofHire]],TODAY(), "M"),DATEDIF(Table1[[#This Row],[DateofHire]],Table1[[#This Row],[DateofTermination]],"M"))/12</f>
        <v>4.166666666666667</v>
      </c>
      <c r="AD217" t="str">
        <f>IF(Table1[[#This Row],[EmpSatisfaction]]=1,"Very Dissatisfied", IF(Table1[[#This Row],[EmpSatisfaction]] = 2, "Dissatisfied", IF(Table1[[#This Row],[EmpSatisfaction]]  = 3, "Neutral", IF(Table1[[#This Row],[EmpSatisfaction]] = 4, "Satisfied", IF(Table1[[#This Row],[EmpSatisfaction]]=5,"Very Satisfied", " ")))))</f>
        <v>Very Satisfied</v>
      </c>
      <c r="AE217">
        <f>YEAR(Table1[[#This Row],[DateofHire]])</f>
        <v>2011</v>
      </c>
      <c r="AF217" t="s">
        <v>535</v>
      </c>
    </row>
    <row r="218" spans="1:32" hidden="1" x14ac:dyDescent="0.3">
      <c r="A218" t="s">
        <v>338</v>
      </c>
      <c r="B218">
        <v>10171</v>
      </c>
      <c r="C218" t="s">
        <v>474</v>
      </c>
      <c r="D218" t="s">
        <v>489</v>
      </c>
      <c r="E218">
        <v>10002</v>
      </c>
      <c r="F218" s="1">
        <v>40679</v>
      </c>
      <c r="G218" s="7">
        <v>45998</v>
      </c>
      <c r="H218" t="s">
        <v>499</v>
      </c>
      <c r="I218" s="1">
        <v>31613</v>
      </c>
      <c r="J218" t="s">
        <v>22</v>
      </c>
      <c r="K218" t="s">
        <v>23</v>
      </c>
      <c r="L218" t="s">
        <v>24</v>
      </c>
      <c r="M218" t="s">
        <v>21</v>
      </c>
      <c r="N218">
        <v>2176</v>
      </c>
      <c r="O218" s="1">
        <v>42302</v>
      </c>
      <c r="P218" t="s">
        <v>528</v>
      </c>
      <c r="Q218" t="s">
        <v>32</v>
      </c>
      <c r="R218" t="s">
        <v>27</v>
      </c>
      <c r="S218" t="s">
        <v>36</v>
      </c>
      <c r="T218">
        <v>3.45</v>
      </c>
      <c r="U218">
        <v>4</v>
      </c>
      <c r="V218" s="1">
        <v>41772</v>
      </c>
      <c r="W218">
        <v>5</v>
      </c>
      <c r="X218" t="str">
        <f>INDEX(Position!B:B,MATCH(Table1[[#This Row],[Position ID]],Position!A:A, 0 ))</f>
        <v>Production Technician I</v>
      </c>
      <c r="Y218" t="str">
        <f>INDEX(Department!B:B,MATCH(Table1[[#This Row],[Department ID]],Department!A:A,0))</f>
        <v>Production</v>
      </c>
      <c r="Z218" t="str">
        <f>INDEX(Manager!B:B,MATCH(Table1[[#This Row],[Manger ID]],Manager!A:A,0))</f>
        <v>Amy Dunn</v>
      </c>
      <c r="AA218">
        <f ca="1">DATEDIF(Table1[[#This Row],[DOB]],TODAY(), "Y")</f>
        <v>37</v>
      </c>
      <c r="AB218" t="str">
        <f ca="1">IF(Table1[[#This Row],[ Age]]&lt;18,"Less than 18",IF(Table1[[#This Row],[ Age]]&lt;=29,"18-29",IF(Table1[[#This Row],[ Age]]&lt;=49,"30-49",IF(Table1[[#This Row],[ Age]]&lt;=59,"50-59","60 or more"))))</f>
        <v>30-49</v>
      </c>
      <c r="AC218" s="8">
        <f ca="1">IF(ISBLANK(Table1[[#This Row],[DateofTermination]]),DATEDIF(Table1[[#This Row],[DateofHire]],TODAY(), "M"),DATEDIF(Table1[[#This Row],[DateofHire]],Table1[[#This Row],[DateofTermination]],"M"))/12</f>
        <v>4.416666666666667</v>
      </c>
      <c r="AD218" t="str">
        <f>IF(Table1[[#This Row],[EmpSatisfaction]]=1,"Very Dissatisfied", IF(Table1[[#This Row],[EmpSatisfaction]] = 2, "Dissatisfied", IF(Table1[[#This Row],[EmpSatisfaction]]  = 3, "Neutral", IF(Table1[[#This Row],[EmpSatisfaction]] = 4, "Satisfied", IF(Table1[[#This Row],[EmpSatisfaction]]=5,"Very Satisfied", " ")))))</f>
        <v>Satisfied</v>
      </c>
      <c r="AE218">
        <f>YEAR(Table1[[#This Row],[DateofHire]])</f>
        <v>2011</v>
      </c>
      <c r="AF218" t="s">
        <v>535</v>
      </c>
    </row>
    <row r="219" spans="1:32" hidden="1" x14ac:dyDescent="0.3">
      <c r="A219" t="s">
        <v>339</v>
      </c>
      <c r="B219">
        <v>10032</v>
      </c>
      <c r="C219" t="s">
        <v>475</v>
      </c>
      <c r="D219" t="s">
        <v>489</v>
      </c>
      <c r="E219">
        <v>10062</v>
      </c>
      <c r="F219" s="1">
        <v>40679</v>
      </c>
      <c r="G219" s="7">
        <v>57954</v>
      </c>
      <c r="H219" t="s">
        <v>499</v>
      </c>
      <c r="I219" s="1">
        <v>31641</v>
      </c>
      <c r="J219" t="s">
        <v>31</v>
      </c>
      <c r="K219" t="s">
        <v>23</v>
      </c>
      <c r="L219" t="s">
        <v>24</v>
      </c>
      <c r="M219" t="s">
        <v>21</v>
      </c>
      <c r="N219">
        <v>1886</v>
      </c>
      <c r="O219" s="1">
        <v>41309</v>
      </c>
      <c r="P219" t="s">
        <v>523</v>
      </c>
      <c r="Q219" t="s">
        <v>32</v>
      </c>
      <c r="R219" t="s">
        <v>35</v>
      </c>
      <c r="S219" t="s">
        <v>28</v>
      </c>
      <c r="T219">
        <v>4.2</v>
      </c>
      <c r="U219">
        <v>5</v>
      </c>
      <c r="V219" s="1">
        <v>41284</v>
      </c>
      <c r="W219">
        <v>12</v>
      </c>
      <c r="X219" t="str">
        <f>INDEX(Position!B:B,MATCH(Table1[[#This Row],[Position ID]],Position!A:A, 0 ))</f>
        <v>Production Technician II</v>
      </c>
      <c r="Y219" t="str">
        <f>INDEX(Department!B:B,MATCH(Table1[[#This Row],[Department ID]],Department!A:A,0))</f>
        <v>Production</v>
      </c>
      <c r="Z219" t="str">
        <f>INDEX(Manager!B:B,MATCH(Table1[[#This Row],[Manger ID]],Manager!A:A,0))</f>
        <v>Ketsia Liebig</v>
      </c>
      <c r="AA219">
        <f ca="1">DATEDIF(Table1[[#This Row],[DOB]],TODAY(), "Y")</f>
        <v>37</v>
      </c>
      <c r="AB219" t="str">
        <f ca="1">IF(Table1[[#This Row],[ Age]]&lt;18,"Less than 18",IF(Table1[[#This Row],[ Age]]&lt;=29,"18-29",IF(Table1[[#This Row],[ Age]]&lt;=49,"30-49",IF(Table1[[#This Row],[ Age]]&lt;=59,"50-59","60 or more"))))</f>
        <v>30-49</v>
      </c>
      <c r="AC219" s="8">
        <f ca="1">IF(ISBLANK(Table1[[#This Row],[DateofTermination]]),DATEDIF(Table1[[#This Row],[DateofHire]],TODAY(), "M"),DATEDIF(Table1[[#This Row],[DateofHire]],Table1[[#This Row],[DateofTermination]],"M"))/12</f>
        <v>1.6666666666666667</v>
      </c>
      <c r="AD219" t="str">
        <f>IF(Table1[[#This Row],[EmpSatisfaction]]=1,"Very Dissatisfied", IF(Table1[[#This Row],[EmpSatisfaction]] = 2, "Dissatisfied", IF(Table1[[#This Row],[EmpSatisfaction]]  = 3, "Neutral", IF(Table1[[#This Row],[EmpSatisfaction]] = 4, "Satisfied", IF(Table1[[#This Row],[EmpSatisfaction]]=5,"Very Satisfied", " ")))))</f>
        <v>Very Satisfied</v>
      </c>
      <c r="AE219">
        <f>YEAR(Table1[[#This Row],[DateofHire]])</f>
        <v>2011</v>
      </c>
      <c r="AF219" t="s">
        <v>535</v>
      </c>
    </row>
    <row r="220" spans="1:32" hidden="1" x14ac:dyDescent="0.3">
      <c r="A220" t="s">
        <v>340</v>
      </c>
      <c r="B220">
        <v>10130</v>
      </c>
      <c r="C220" t="s">
        <v>473</v>
      </c>
      <c r="D220" t="s">
        <v>489</v>
      </c>
      <c r="E220">
        <v>10175</v>
      </c>
      <c r="F220" s="1">
        <v>40476</v>
      </c>
      <c r="G220" s="7">
        <v>74669</v>
      </c>
      <c r="H220" t="s">
        <v>499</v>
      </c>
      <c r="I220" s="1">
        <v>28254</v>
      </c>
      <c r="J220" t="s">
        <v>31</v>
      </c>
      <c r="K220" t="s">
        <v>23</v>
      </c>
      <c r="L220" t="s">
        <v>24</v>
      </c>
      <c r="M220" t="s">
        <v>21</v>
      </c>
      <c r="N220">
        <v>2030</v>
      </c>
      <c r="O220" s="1">
        <v>42508</v>
      </c>
      <c r="P220" t="s">
        <v>516</v>
      </c>
      <c r="Q220" t="s">
        <v>32</v>
      </c>
      <c r="R220" t="s">
        <v>35</v>
      </c>
      <c r="S220" t="s">
        <v>36</v>
      </c>
      <c r="T220">
        <v>4.16</v>
      </c>
      <c r="U220">
        <v>5</v>
      </c>
      <c r="V220" s="1">
        <v>42068</v>
      </c>
      <c r="W220">
        <v>6</v>
      </c>
      <c r="X220" t="str">
        <f>INDEX(Position!B:B,MATCH(Table1[[#This Row],[Position ID]],Position!A:A, 0 ))</f>
        <v>Production Manager</v>
      </c>
      <c r="Y220" t="str">
        <f>INDEX(Department!B:B,MATCH(Table1[[#This Row],[Department ID]],Department!A:A,0))</f>
        <v>Production</v>
      </c>
      <c r="Z220" t="str">
        <f>INDEX(Manager!B:B,MATCH(Table1[[#This Row],[Manger ID]],Manager!A:A,0))</f>
        <v>Janet King</v>
      </c>
      <c r="AA220">
        <f ca="1">DATEDIF(Table1[[#This Row],[DOB]],TODAY(), "Y")</f>
        <v>46</v>
      </c>
      <c r="AB220" t="str">
        <f ca="1">IF(Table1[[#This Row],[ Age]]&lt;18,"Less than 18",IF(Table1[[#This Row],[ Age]]&lt;=29,"18-29",IF(Table1[[#This Row],[ Age]]&lt;=49,"30-49",IF(Table1[[#This Row],[ Age]]&lt;=59,"50-59","60 or more"))))</f>
        <v>30-49</v>
      </c>
      <c r="AC220" s="8">
        <f ca="1">IF(ISBLANK(Table1[[#This Row],[DateofTermination]]),DATEDIF(Table1[[#This Row],[DateofHire]],TODAY(), "M"),DATEDIF(Table1[[#This Row],[DateofHire]],Table1[[#This Row],[DateofTermination]],"M"))/12</f>
        <v>5.5</v>
      </c>
      <c r="AD220" t="str">
        <f>IF(Table1[[#This Row],[EmpSatisfaction]]=1,"Very Dissatisfied", IF(Table1[[#This Row],[EmpSatisfaction]] = 2, "Dissatisfied", IF(Table1[[#This Row],[EmpSatisfaction]]  = 3, "Neutral", IF(Table1[[#This Row],[EmpSatisfaction]] = 4, "Satisfied", IF(Table1[[#This Row],[EmpSatisfaction]]=5,"Very Satisfied", " ")))))</f>
        <v>Very Satisfied</v>
      </c>
      <c r="AE220">
        <f>YEAR(Table1[[#This Row],[DateofHire]])</f>
        <v>2010</v>
      </c>
      <c r="AF220" t="s">
        <v>535</v>
      </c>
    </row>
    <row r="221" spans="1:32" x14ac:dyDescent="0.3">
      <c r="A221" t="s">
        <v>341</v>
      </c>
      <c r="B221">
        <v>10217</v>
      </c>
      <c r="C221" t="s">
        <v>475</v>
      </c>
      <c r="D221" t="s">
        <v>489</v>
      </c>
      <c r="E221">
        <v>10114</v>
      </c>
      <c r="F221" s="1">
        <v>41001</v>
      </c>
      <c r="G221" s="7">
        <v>74226</v>
      </c>
      <c r="H221" t="s">
        <v>499</v>
      </c>
      <c r="I221" s="1">
        <v>28924</v>
      </c>
      <c r="J221" t="s">
        <v>31</v>
      </c>
      <c r="K221" t="s">
        <v>78</v>
      </c>
      <c r="L221" t="s">
        <v>82</v>
      </c>
      <c r="M221" t="s">
        <v>21</v>
      </c>
      <c r="N221">
        <v>2050</v>
      </c>
      <c r="P221" t="s">
        <v>512</v>
      </c>
      <c r="Q221" t="s">
        <v>25</v>
      </c>
      <c r="R221" t="s">
        <v>27</v>
      </c>
      <c r="S221" t="s">
        <v>36</v>
      </c>
      <c r="T221">
        <v>4.3</v>
      </c>
      <c r="U221">
        <v>3</v>
      </c>
      <c r="V221" s="1">
        <v>43479</v>
      </c>
      <c r="W221">
        <v>14</v>
      </c>
      <c r="X221" t="str">
        <f>INDEX(Position!B:B,MATCH(Table1[[#This Row],[Position ID]],Position!A:A, 0 ))</f>
        <v>Production Technician II</v>
      </c>
      <c r="Y221" t="str">
        <f>INDEX(Department!B:B,MATCH(Table1[[#This Row],[Department ID]],Department!A:A,0))</f>
        <v>Production</v>
      </c>
      <c r="Z221" t="str">
        <f>INDEX(Manager!B:B,MATCH(Table1[[#This Row],[Manger ID]],Manager!A:A,0))</f>
        <v>Brannon Miller</v>
      </c>
      <c r="AA221">
        <f ca="1">DATEDIF(Table1[[#This Row],[DOB]],TODAY(), "Y")</f>
        <v>45</v>
      </c>
      <c r="AB221" t="str">
        <f ca="1">IF(Table1[[#This Row],[ Age]]&lt;18,"Less than 18",IF(Table1[[#This Row],[ Age]]&lt;=29,"18-29",IF(Table1[[#This Row],[ Age]]&lt;=49,"30-49",IF(Table1[[#This Row],[ Age]]&lt;=59,"50-59","60 or more"))))</f>
        <v>30-49</v>
      </c>
      <c r="AC221" s="8">
        <f ca="1">IF(ISBLANK(Table1[[#This Row],[DateofTermination]]),DATEDIF(Table1[[#This Row],[DateofHire]],TODAY(), "M"),DATEDIF(Table1[[#This Row],[DateofHire]],Table1[[#This Row],[DateofTermination]],"M"))/12</f>
        <v>12</v>
      </c>
      <c r="AD221" t="str">
        <f>IF(Table1[[#This Row],[EmpSatisfaction]]=1,"Very Dissatisfied", IF(Table1[[#This Row],[EmpSatisfaction]] = 2, "Dissatisfied", IF(Table1[[#This Row],[EmpSatisfaction]]  = 3, "Neutral", IF(Table1[[#This Row],[EmpSatisfaction]] = 4, "Satisfied", IF(Table1[[#This Row],[EmpSatisfaction]]=5,"Very Satisfied", " ")))))</f>
        <v>Neutral</v>
      </c>
      <c r="AE221">
        <f>YEAR(Table1[[#This Row],[DateofHire]])</f>
        <v>2012</v>
      </c>
      <c r="AF221" t="s">
        <v>25</v>
      </c>
    </row>
    <row r="222" spans="1:32" x14ac:dyDescent="0.3">
      <c r="A222" t="s">
        <v>342</v>
      </c>
      <c r="B222">
        <v>10016</v>
      </c>
      <c r="C222" t="s">
        <v>458</v>
      </c>
      <c r="D222" t="s">
        <v>488</v>
      </c>
      <c r="E222">
        <v>10084</v>
      </c>
      <c r="F222" s="1">
        <v>41953</v>
      </c>
      <c r="G222" s="7">
        <v>93554</v>
      </c>
      <c r="H222" t="s">
        <v>499</v>
      </c>
      <c r="I222" s="1">
        <v>30941</v>
      </c>
      <c r="J222" t="s">
        <v>31</v>
      </c>
      <c r="K222" t="s">
        <v>23</v>
      </c>
      <c r="L222" t="s">
        <v>57</v>
      </c>
      <c r="M222" t="s">
        <v>21</v>
      </c>
      <c r="N222">
        <v>1886</v>
      </c>
      <c r="P222" t="s">
        <v>512</v>
      </c>
      <c r="Q222" t="s">
        <v>25</v>
      </c>
      <c r="R222" t="s">
        <v>55</v>
      </c>
      <c r="S222" t="s">
        <v>28</v>
      </c>
      <c r="T222">
        <v>4.5999999999999996</v>
      </c>
      <c r="U222">
        <v>5</v>
      </c>
      <c r="V222" s="1">
        <v>43469</v>
      </c>
      <c r="W222">
        <v>16</v>
      </c>
      <c r="X222" t="str">
        <f>INDEX(Position!B:B,MATCH(Table1[[#This Row],[Position ID]],Position!A:A, 0 ))</f>
        <v>Data Analyst</v>
      </c>
      <c r="Y222" t="str">
        <f>INDEX(Department!B:B,MATCH(Table1[[#This Row],[Department ID]],Department!A:A,0))</f>
        <v>IT/IS</v>
      </c>
      <c r="Z222" t="str">
        <f>INDEX(Manager!B:B,MATCH(Table1[[#This Row],[Manger ID]],Manager!A:A,0))</f>
        <v>Simon Roup</v>
      </c>
      <c r="AA222">
        <f ca="1">DATEDIF(Table1[[#This Row],[DOB]],TODAY(), "Y")</f>
        <v>39</v>
      </c>
      <c r="AB222" t="str">
        <f ca="1">IF(Table1[[#This Row],[ Age]]&lt;18,"Less than 18",IF(Table1[[#This Row],[ Age]]&lt;=29,"18-29",IF(Table1[[#This Row],[ Age]]&lt;=49,"30-49",IF(Table1[[#This Row],[ Age]]&lt;=59,"50-59","60 or more"))))</f>
        <v>30-49</v>
      </c>
      <c r="AC222" s="8">
        <f ca="1">IF(ISBLANK(Table1[[#This Row],[DateofTermination]]),DATEDIF(Table1[[#This Row],[DateofHire]],TODAY(), "M"),DATEDIF(Table1[[#This Row],[DateofHire]],Table1[[#This Row],[DateofTermination]],"M"))/12</f>
        <v>9.3333333333333339</v>
      </c>
      <c r="AD222" t="str">
        <f>IF(Table1[[#This Row],[EmpSatisfaction]]=1,"Very Dissatisfied", IF(Table1[[#This Row],[EmpSatisfaction]] = 2, "Dissatisfied", IF(Table1[[#This Row],[EmpSatisfaction]]  = 3, "Neutral", IF(Table1[[#This Row],[EmpSatisfaction]] = 4, "Satisfied", IF(Table1[[#This Row],[EmpSatisfaction]]=5,"Very Satisfied", " ")))))</f>
        <v>Very Satisfied</v>
      </c>
      <c r="AE222">
        <f>YEAR(Table1[[#This Row],[DateofHire]])</f>
        <v>2014</v>
      </c>
      <c r="AF222" t="s">
        <v>25</v>
      </c>
    </row>
    <row r="223" spans="1:32" hidden="1" x14ac:dyDescent="0.3">
      <c r="A223" t="s">
        <v>343</v>
      </c>
      <c r="B223">
        <v>10050</v>
      </c>
      <c r="C223" t="s">
        <v>474</v>
      </c>
      <c r="D223" t="s">
        <v>489</v>
      </c>
      <c r="E223">
        <v>10114</v>
      </c>
      <c r="F223" s="1">
        <v>40729</v>
      </c>
      <c r="G223" s="7">
        <v>64724</v>
      </c>
      <c r="H223" t="s">
        <v>498</v>
      </c>
      <c r="I223" s="1">
        <v>32208</v>
      </c>
      <c r="J223" t="s">
        <v>31</v>
      </c>
      <c r="K223" t="s">
        <v>23</v>
      </c>
      <c r="L223" t="s">
        <v>82</v>
      </c>
      <c r="M223" t="s">
        <v>21</v>
      </c>
      <c r="N223">
        <v>2451</v>
      </c>
      <c r="O223" s="1">
        <v>41243</v>
      </c>
      <c r="P223" t="s">
        <v>523</v>
      </c>
      <c r="Q223" t="s">
        <v>32</v>
      </c>
      <c r="R223" t="s">
        <v>45</v>
      </c>
      <c r="S223" t="s">
        <v>36</v>
      </c>
      <c r="T223">
        <v>5</v>
      </c>
      <c r="U223">
        <v>3</v>
      </c>
      <c r="V223" s="1">
        <v>40959</v>
      </c>
      <c r="W223">
        <v>13</v>
      </c>
      <c r="X223" t="str">
        <f>INDEX(Position!B:B,MATCH(Table1[[#This Row],[Position ID]],Position!A:A, 0 ))</f>
        <v>Production Technician I</v>
      </c>
      <c r="Y223" t="str">
        <f>INDEX(Department!B:B,MATCH(Table1[[#This Row],[Department ID]],Department!A:A,0))</f>
        <v>Production</v>
      </c>
      <c r="Z223" t="str">
        <f>INDEX(Manager!B:B,MATCH(Table1[[#This Row],[Manger ID]],Manager!A:A,0))</f>
        <v>Brannon Miller</v>
      </c>
      <c r="AA223">
        <f ca="1">DATEDIF(Table1[[#This Row],[DOB]],TODAY(), "Y")</f>
        <v>36</v>
      </c>
      <c r="AB223" t="str">
        <f ca="1">IF(Table1[[#This Row],[ Age]]&lt;18,"Less than 18",IF(Table1[[#This Row],[ Age]]&lt;=29,"18-29",IF(Table1[[#This Row],[ Age]]&lt;=49,"30-49",IF(Table1[[#This Row],[ Age]]&lt;=59,"50-59","60 or more"))))</f>
        <v>30-49</v>
      </c>
      <c r="AC223" s="8">
        <f ca="1">IF(ISBLANK(Table1[[#This Row],[DateofTermination]]),DATEDIF(Table1[[#This Row],[DateofHire]],TODAY(), "M"),DATEDIF(Table1[[#This Row],[DateofHire]],Table1[[#This Row],[DateofTermination]],"M"))/12</f>
        <v>1.3333333333333333</v>
      </c>
      <c r="AD223" t="str">
        <f>IF(Table1[[#This Row],[EmpSatisfaction]]=1,"Very Dissatisfied", IF(Table1[[#This Row],[EmpSatisfaction]] = 2, "Dissatisfied", IF(Table1[[#This Row],[EmpSatisfaction]]  = 3, "Neutral", IF(Table1[[#This Row],[EmpSatisfaction]] = 4, "Satisfied", IF(Table1[[#This Row],[EmpSatisfaction]]=5,"Very Satisfied", " ")))))</f>
        <v>Neutral</v>
      </c>
      <c r="AE223">
        <f>YEAR(Table1[[#This Row],[DateofHire]])</f>
        <v>2011</v>
      </c>
      <c r="AF223" t="s">
        <v>535</v>
      </c>
    </row>
    <row r="224" spans="1:32" x14ac:dyDescent="0.3">
      <c r="A224" t="s">
        <v>344</v>
      </c>
      <c r="B224">
        <v>10164</v>
      </c>
      <c r="C224" t="s">
        <v>474</v>
      </c>
      <c r="D224" t="s">
        <v>489</v>
      </c>
      <c r="E224">
        <v>10252</v>
      </c>
      <c r="F224" s="1">
        <v>39391</v>
      </c>
      <c r="G224" s="7">
        <v>47001</v>
      </c>
      <c r="H224" t="s">
        <v>498</v>
      </c>
      <c r="I224" s="1">
        <v>29913</v>
      </c>
      <c r="J224" t="s">
        <v>22</v>
      </c>
      <c r="K224" t="s">
        <v>23</v>
      </c>
      <c r="L224" t="s">
        <v>24</v>
      </c>
      <c r="M224" t="s">
        <v>21</v>
      </c>
      <c r="N224">
        <v>2451</v>
      </c>
      <c r="P224" t="s">
        <v>512</v>
      </c>
      <c r="Q224" t="s">
        <v>25</v>
      </c>
      <c r="R224" t="s">
        <v>45</v>
      </c>
      <c r="S224" t="s">
        <v>36</v>
      </c>
      <c r="T224">
        <v>3.66</v>
      </c>
      <c r="U224">
        <v>3</v>
      </c>
      <c r="V224" s="1">
        <v>43521</v>
      </c>
      <c r="W224">
        <v>15</v>
      </c>
      <c r="X224" t="str">
        <f>INDEX(Position!B:B,MATCH(Table1[[#This Row],[Position ID]],Position!A:A, 0 ))</f>
        <v>Production Technician I</v>
      </c>
      <c r="Y224" t="str">
        <f>INDEX(Department!B:B,MATCH(Table1[[#This Row],[Department ID]],Department!A:A,0))</f>
        <v>Production</v>
      </c>
      <c r="Z224" t="str">
        <f>INDEX(Manager!B:B,MATCH(Table1[[#This Row],[Manger ID]],Manager!A:A,0))</f>
        <v>David Stanley</v>
      </c>
      <c r="AA224">
        <f ca="1">DATEDIF(Table1[[#This Row],[DOB]],TODAY(), "Y")</f>
        <v>42</v>
      </c>
      <c r="AB224" t="str">
        <f ca="1">IF(Table1[[#This Row],[ Age]]&lt;18,"Less than 18",IF(Table1[[#This Row],[ Age]]&lt;=29,"18-29",IF(Table1[[#This Row],[ Age]]&lt;=49,"30-49",IF(Table1[[#This Row],[ Age]]&lt;=59,"50-59","60 or more"))))</f>
        <v>30-49</v>
      </c>
      <c r="AC224" s="8">
        <f ca="1">IF(ISBLANK(Table1[[#This Row],[DateofTermination]]),DATEDIF(Table1[[#This Row],[DateofHire]],TODAY(), "M"),DATEDIF(Table1[[#This Row],[DateofHire]],Table1[[#This Row],[DateofTermination]],"M"))/12</f>
        <v>16.416666666666668</v>
      </c>
      <c r="AD224" t="str">
        <f>IF(Table1[[#This Row],[EmpSatisfaction]]=1,"Very Dissatisfied", IF(Table1[[#This Row],[EmpSatisfaction]] = 2, "Dissatisfied", IF(Table1[[#This Row],[EmpSatisfaction]]  = 3, "Neutral", IF(Table1[[#This Row],[EmpSatisfaction]] = 4, "Satisfied", IF(Table1[[#This Row],[EmpSatisfaction]]=5,"Very Satisfied", " ")))))</f>
        <v>Neutral</v>
      </c>
      <c r="AE224">
        <f>YEAR(Table1[[#This Row],[DateofHire]])</f>
        <v>2007</v>
      </c>
      <c r="AF224" t="s">
        <v>25</v>
      </c>
    </row>
    <row r="225" spans="1:32" x14ac:dyDescent="0.3">
      <c r="A225" t="s">
        <v>345</v>
      </c>
      <c r="B225">
        <v>10124</v>
      </c>
      <c r="C225" t="s">
        <v>454</v>
      </c>
      <c r="D225" t="s">
        <v>490</v>
      </c>
      <c r="E225">
        <v>10200</v>
      </c>
      <c r="F225" s="1">
        <v>40917</v>
      </c>
      <c r="G225" s="7">
        <v>61844</v>
      </c>
      <c r="H225" t="s">
        <v>499</v>
      </c>
      <c r="I225" s="1">
        <v>32384</v>
      </c>
      <c r="J225" t="s">
        <v>31</v>
      </c>
      <c r="K225" t="s">
        <v>23</v>
      </c>
      <c r="L225" t="s">
        <v>57</v>
      </c>
      <c r="M225" t="s">
        <v>346</v>
      </c>
      <c r="N225">
        <v>40220</v>
      </c>
      <c r="P225" t="s">
        <v>512</v>
      </c>
      <c r="Q225" t="s">
        <v>25</v>
      </c>
      <c r="R225" t="s">
        <v>167</v>
      </c>
      <c r="S225" t="s">
        <v>36</v>
      </c>
      <c r="T225">
        <v>4.2</v>
      </c>
      <c r="U225">
        <v>5</v>
      </c>
      <c r="V225" s="1">
        <v>43497</v>
      </c>
      <c r="W225">
        <v>9</v>
      </c>
      <c r="X225" t="str">
        <f>INDEX(Position!B:B,MATCH(Table1[[#This Row],[Position ID]],Position!A:A, 0 ))</f>
        <v>Area Sales Manager</v>
      </c>
      <c r="Y225" t="str">
        <f>INDEX(Department!B:B,MATCH(Table1[[#This Row],[Department ID]],Department!A:A,0))</f>
        <v>Sales</v>
      </c>
      <c r="Z225" t="str">
        <f>INDEX(Manager!B:B,MATCH(Table1[[#This Row],[Manger ID]],Manager!A:A,0))</f>
        <v>Lynn Daneault</v>
      </c>
      <c r="AA225">
        <f ca="1">DATEDIF(Table1[[#This Row],[DOB]],TODAY(), "Y")</f>
        <v>35</v>
      </c>
      <c r="AB225" t="str">
        <f ca="1">IF(Table1[[#This Row],[ Age]]&lt;18,"Less than 18",IF(Table1[[#This Row],[ Age]]&lt;=29,"18-29",IF(Table1[[#This Row],[ Age]]&lt;=49,"30-49",IF(Table1[[#This Row],[ Age]]&lt;=59,"50-59","60 or more"))))</f>
        <v>30-49</v>
      </c>
      <c r="AC225" s="8">
        <f ca="1">IF(ISBLANK(Table1[[#This Row],[DateofTermination]]),DATEDIF(Table1[[#This Row],[DateofHire]],TODAY(), "M"),DATEDIF(Table1[[#This Row],[DateofHire]],Table1[[#This Row],[DateofTermination]],"M"))/12</f>
        <v>12.25</v>
      </c>
      <c r="AD225" t="str">
        <f>IF(Table1[[#This Row],[EmpSatisfaction]]=1,"Very Dissatisfied", IF(Table1[[#This Row],[EmpSatisfaction]] = 2, "Dissatisfied", IF(Table1[[#This Row],[EmpSatisfaction]]  = 3, "Neutral", IF(Table1[[#This Row],[EmpSatisfaction]] = 4, "Satisfied", IF(Table1[[#This Row],[EmpSatisfaction]]=5,"Very Satisfied", " ")))))</f>
        <v>Very Satisfied</v>
      </c>
      <c r="AE225">
        <f>YEAR(Table1[[#This Row],[DateofHire]])</f>
        <v>2012</v>
      </c>
      <c r="AF225" t="s">
        <v>25</v>
      </c>
    </row>
    <row r="226" spans="1:32" hidden="1" x14ac:dyDescent="0.3">
      <c r="A226" t="s">
        <v>347</v>
      </c>
      <c r="B226">
        <v>10187</v>
      </c>
      <c r="C226" t="s">
        <v>474</v>
      </c>
      <c r="D226" t="s">
        <v>489</v>
      </c>
      <c r="E226">
        <v>10196</v>
      </c>
      <c r="F226" s="1">
        <v>40679</v>
      </c>
      <c r="G226" s="7">
        <v>46799</v>
      </c>
      <c r="H226" t="s">
        <v>499</v>
      </c>
      <c r="I226" s="1">
        <v>30970</v>
      </c>
      <c r="J226" t="s">
        <v>43</v>
      </c>
      <c r="K226" t="s">
        <v>78</v>
      </c>
      <c r="L226" t="s">
        <v>82</v>
      </c>
      <c r="M226" t="s">
        <v>21</v>
      </c>
      <c r="N226">
        <v>1742</v>
      </c>
      <c r="O226" s="1">
        <v>43255</v>
      </c>
      <c r="P226" t="s">
        <v>516</v>
      </c>
      <c r="Q226" t="s">
        <v>32</v>
      </c>
      <c r="R226" t="s">
        <v>45</v>
      </c>
      <c r="S226" t="s">
        <v>36</v>
      </c>
      <c r="T226">
        <v>3.17</v>
      </c>
      <c r="U226">
        <v>4</v>
      </c>
      <c r="V226" s="1">
        <v>43192</v>
      </c>
      <c r="W226">
        <v>14</v>
      </c>
      <c r="X226" t="str">
        <f>INDEX(Position!B:B,MATCH(Table1[[#This Row],[Position ID]],Position!A:A, 0 ))</f>
        <v>Production Technician I</v>
      </c>
      <c r="Y226" t="str">
        <f>INDEX(Department!B:B,MATCH(Table1[[#This Row],[Department ID]],Department!A:A,0))</f>
        <v>Production</v>
      </c>
      <c r="Z226" t="str">
        <f>INDEX(Manager!B:B,MATCH(Table1[[#This Row],[Manger ID]],Manager!A:A,0))</f>
        <v>Kissy Sullivan</v>
      </c>
      <c r="AA226">
        <f ca="1">DATEDIF(Table1[[#This Row],[DOB]],TODAY(), "Y")</f>
        <v>39</v>
      </c>
      <c r="AB226" t="str">
        <f ca="1">IF(Table1[[#This Row],[ Age]]&lt;18,"Less than 18",IF(Table1[[#This Row],[ Age]]&lt;=29,"18-29",IF(Table1[[#This Row],[ Age]]&lt;=49,"30-49",IF(Table1[[#This Row],[ Age]]&lt;=59,"50-59","60 or more"))))</f>
        <v>30-49</v>
      </c>
      <c r="AC226" s="8">
        <f ca="1">IF(ISBLANK(Table1[[#This Row],[DateofTermination]]),DATEDIF(Table1[[#This Row],[DateofHire]],TODAY(), "M"),DATEDIF(Table1[[#This Row],[DateofHire]],Table1[[#This Row],[DateofTermination]],"M"))/12</f>
        <v>7</v>
      </c>
      <c r="AD226" t="str">
        <f>IF(Table1[[#This Row],[EmpSatisfaction]]=1,"Very Dissatisfied", IF(Table1[[#This Row],[EmpSatisfaction]] = 2, "Dissatisfied", IF(Table1[[#This Row],[EmpSatisfaction]]  = 3, "Neutral", IF(Table1[[#This Row],[EmpSatisfaction]] = 4, "Satisfied", IF(Table1[[#This Row],[EmpSatisfaction]]=5,"Very Satisfied", " ")))))</f>
        <v>Satisfied</v>
      </c>
      <c r="AE226">
        <f>YEAR(Table1[[#This Row],[DateofHire]])</f>
        <v>2011</v>
      </c>
      <c r="AF226" t="s">
        <v>535</v>
      </c>
    </row>
    <row r="227" spans="1:32" x14ac:dyDescent="0.3">
      <c r="A227" t="s">
        <v>348</v>
      </c>
      <c r="B227">
        <v>10225</v>
      </c>
      <c r="C227" t="s">
        <v>474</v>
      </c>
      <c r="D227" t="s">
        <v>489</v>
      </c>
      <c r="E227">
        <v>10265</v>
      </c>
      <c r="F227" s="1">
        <v>41645</v>
      </c>
      <c r="G227" s="7">
        <v>59472</v>
      </c>
      <c r="H227" t="s">
        <v>498</v>
      </c>
      <c r="I227" s="1">
        <v>22451</v>
      </c>
      <c r="J227" t="s">
        <v>22</v>
      </c>
      <c r="K227" t="s">
        <v>23</v>
      </c>
      <c r="L227" t="s">
        <v>24</v>
      </c>
      <c r="M227" t="s">
        <v>21</v>
      </c>
      <c r="N227">
        <v>2109</v>
      </c>
      <c r="P227" t="s">
        <v>512</v>
      </c>
      <c r="Q227" t="s">
        <v>25</v>
      </c>
      <c r="R227" t="s">
        <v>55</v>
      </c>
      <c r="S227" t="s">
        <v>36</v>
      </c>
      <c r="T227">
        <v>4.8</v>
      </c>
      <c r="U227">
        <v>3</v>
      </c>
      <c r="V227" s="1">
        <v>43472</v>
      </c>
      <c r="W227">
        <v>14</v>
      </c>
      <c r="X227" t="str">
        <f>INDEX(Position!B:B,MATCH(Table1[[#This Row],[Position ID]],Position!A:A, 0 ))</f>
        <v>Production Technician I</v>
      </c>
      <c r="Y227" t="str">
        <f>INDEX(Department!B:B,MATCH(Table1[[#This Row],[Department ID]],Department!A:A,0))</f>
        <v>Production</v>
      </c>
      <c r="Z227" t="str">
        <f>INDEX(Manager!B:B,MATCH(Table1[[#This Row],[Manger ID]],Manager!A:A,0))</f>
        <v>Kelley Spirea</v>
      </c>
      <c r="AA227">
        <f ca="1">DATEDIF(Table1[[#This Row],[DOB]],TODAY(), "Y")</f>
        <v>62</v>
      </c>
      <c r="AB227" t="str">
        <f ca="1">IF(Table1[[#This Row],[ Age]]&lt;18,"Less than 18",IF(Table1[[#This Row],[ Age]]&lt;=29,"18-29",IF(Table1[[#This Row],[ Age]]&lt;=49,"30-49",IF(Table1[[#This Row],[ Age]]&lt;=59,"50-59","60 or more"))))</f>
        <v>60 or more</v>
      </c>
      <c r="AC227" s="8">
        <f ca="1">IF(ISBLANK(Table1[[#This Row],[DateofTermination]]),DATEDIF(Table1[[#This Row],[DateofHire]],TODAY(), "M"),DATEDIF(Table1[[#This Row],[DateofHire]],Table1[[#This Row],[DateofTermination]],"M"))/12</f>
        <v>10.25</v>
      </c>
      <c r="AD227" t="str">
        <f>IF(Table1[[#This Row],[EmpSatisfaction]]=1,"Very Dissatisfied", IF(Table1[[#This Row],[EmpSatisfaction]] = 2, "Dissatisfied", IF(Table1[[#This Row],[EmpSatisfaction]]  = 3, "Neutral", IF(Table1[[#This Row],[EmpSatisfaction]] = 4, "Satisfied", IF(Table1[[#This Row],[EmpSatisfaction]]=5,"Very Satisfied", " ")))))</f>
        <v>Neutral</v>
      </c>
      <c r="AE227">
        <f>YEAR(Table1[[#This Row],[DateofHire]])</f>
        <v>2014</v>
      </c>
      <c r="AF227" t="s">
        <v>25</v>
      </c>
    </row>
    <row r="228" spans="1:32" hidden="1" x14ac:dyDescent="0.3">
      <c r="A228" t="s">
        <v>349</v>
      </c>
      <c r="B228">
        <v>10262</v>
      </c>
      <c r="C228" t="s">
        <v>474</v>
      </c>
      <c r="D228" t="s">
        <v>489</v>
      </c>
      <c r="E228">
        <v>10196</v>
      </c>
      <c r="F228" s="1">
        <v>41176</v>
      </c>
      <c r="G228" s="7">
        <v>46430</v>
      </c>
      <c r="H228" t="s">
        <v>499</v>
      </c>
      <c r="I228" s="1">
        <v>25833</v>
      </c>
      <c r="J228" t="s">
        <v>43</v>
      </c>
      <c r="K228" t="s">
        <v>23</v>
      </c>
      <c r="L228" t="s">
        <v>24</v>
      </c>
      <c r="M228" t="s">
        <v>21</v>
      </c>
      <c r="N228">
        <v>2474</v>
      </c>
      <c r="O228" s="1">
        <v>41443</v>
      </c>
      <c r="P228" t="s">
        <v>517</v>
      </c>
      <c r="Q228" t="s">
        <v>32</v>
      </c>
      <c r="R228" t="s">
        <v>35</v>
      </c>
      <c r="S228" t="s">
        <v>36</v>
      </c>
      <c r="T228">
        <v>4.5</v>
      </c>
      <c r="U228">
        <v>5</v>
      </c>
      <c r="V228" s="1">
        <v>41366</v>
      </c>
      <c r="W228">
        <v>16</v>
      </c>
      <c r="X228" t="str">
        <f>INDEX(Position!B:B,MATCH(Table1[[#This Row],[Position ID]],Position!A:A, 0 ))</f>
        <v>Production Technician I</v>
      </c>
      <c r="Y228" t="str">
        <f>INDEX(Department!B:B,MATCH(Table1[[#This Row],[Department ID]],Department!A:A,0))</f>
        <v>Production</v>
      </c>
      <c r="Z228" t="str">
        <f>INDEX(Manager!B:B,MATCH(Table1[[#This Row],[Manger ID]],Manager!A:A,0))</f>
        <v>Kissy Sullivan</v>
      </c>
      <c r="AA228">
        <f ca="1">DATEDIF(Table1[[#This Row],[DOB]],TODAY(), "Y")</f>
        <v>53</v>
      </c>
      <c r="AB228" t="str">
        <f ca="1">IF(Table1[[#This Row],[ Age]]&lt;18,"Less than 18",IF(Table1[[#This Row],[ Age]]&lt;=29,"18-29",IF(Table1[[#This Row],[ Age]]&lt;=49,"30-49",IF(Table1[[#This Row],[ Age]]&lt;=59,"50-59","60 or more"))))</f>
        <v>50-59</v>
      </c>
      <c r="AC228" s="8">
        <f ca="1">IF(ISBLANK(Table1[[#This Row],[DateofTermination]]),DATEDIF(Table1[[#This Row],[DateofHire]],TODAY(), "M"),DATEDIF(Table1[[#This Row],[DateofHire]],Table1[[#This Row],[DateofTermination]],"M"))/12</f>
        <v>0.66666666666666663</v>
      </c>
      <c r="AD228" t="str">
        <f>IF(Table1[[#This Row],[EmpSatisfaction]]=1,"Very Dissatisfied", IF(Table1[[#This Row],[EmpSatisfaction]] = 2, "Dissatisfied", IF(Table1[[#This Row],[EmpSatisfaction]]  = 3, "Neutral", IF(Table1[[#This Row],[EmpSatisfaction]] = 4, "Satisfied", IF(Table1[[#This Row],[EmpSatisfaction]]=5,"Very Satisfied", " ")))))</f>
        <v>Very Satisfied</v>
      </c>
      <c r="AE228">
        <f>YEAR(Table1[[#This Row],[DateofHire]])</f>
        <v>2012</v>
      </c>
      <c r="AF228" t="s">
        <v>535</v>
      </c>
    </row>
    <row r="229" spans="1:32" hidden="1" x14ac:dyDescent="0.3">
      <c r="A229" t="s">
        <v>350</v>
      </c>
      <c r="B229">
        <v>10131</v>
      </c>
      <c r="C229" t="s">
        <v>479</v>
      </c>
      <c r="D229" t="s">
        <v>491</v>
      </c>
      <c r="E229">
        <v>10175</v>
      </c>
      <c r="F229" s="1">
        <v>40595</v>
      </c>
      <c r="G229" s="7">
        <v>83363</v>
      </c>
      <c r="H229" t="s">
        <v>498</v>
      </c>
      <c r="I229" s="1">
        <v>30992</v>
      </c>
      <c r="J229" t="s">
        <v>31</v>
      </c>
      <c r="K229" t="s">
        <v>78</v>
      </c>
      <c r="L229" t="s">
        <v>57</v>
      </c>
      <c r="M229" t="s">
        <v>21</v>
      </c>
      <c r="N229">
        <v>2045</v>
      </c>
      <c r="O229" s="1">
        <v>42231</v>
      </c>
      <c r="P229" t="s">
        <v>513</v>
      </c>
      <c r="Q229" t="s">
        <v>32</v>
      </c>
      <c r="R229" t="s">
        <v>59</v>
      </c>
      <c r="S229" t="s">
        <v>36</v>
      </c>
      <c r="T229">
        <v>4.1500000000000004</v>
      </c>
      <c r="U229">
        <v>4</v>
      </c>
      <c r="V229" s="1">
        <v>41748</v>
      </c>
      <c r="W229">
        <v>4</v>
      </c>
      <c r="X229" t="str">
        <f>INDEX(Position!B:B,MATCH(Table1[[#This Row],[Position ID]],Position!A:A, 0 ))</f>
        <v>Software Engineer</v>
      </c>
      <c r="Y229" t="str">
        <f>INDEX(Department!B:B,MATCH(Table1[[#This Row],[Department ID]],Department!A:A,0))</f>
        <v>Software Engineering</v>
      </c>
      <c r="Z229" t="str">
        <f>INDEX(Manager!B:B,MATCH(Table1[[#This Row],[Manger ID]],Manager!A:A,0))</f>
        <v>Janet King</v>
      </c>
      <c r="AA229">
        <f ca="1">DATEDIF(Table1[[#This Row],[DOB]],TODAY(), "Y")</f>
        <v>39</v>
      </c>
      <c r="AB229" t="str">
        <f ca="1">IF(Table1[[#This Row],[ Age]]&lt;18,"Less than 18",IF(Table1[[#This Row],[ Age]]&lt;=29,"18-29",IF(Table1[[#This Row],[ Age]]&lt;=49,"30-49",IF(Table1[[#This Row],[ Age]]&lt;=59,"50-59","60 or more"))))</f>
        <v>30-49</v>
      </c>
      <c r="AC229" s="8">
        <f ca="1">IF(ISBLANK(Table1[[#This Row],[DateofTermination]]),DATEDIF(Table1[[#This Row],[DateofHire]],TODAY(), "M"),DATEDIF(Table1[[#This Row],[DateofHire]],Table1[[#This Row],[DateofTermination]],"M"))/12</f>
        <v>4.416666666666667</v>
      </c>
      <c r="AD229" t="str">
        <f>IF(Table1[[#This Row],[EmpSatisfaction]]=1,"Very Dissatisfied", IF(Table1[[#This Row],[EmpSatisfaction]] = 2, "Dissatisfied", IF(Table1[[#This Row],[EmpSatisfaction]]  = 3, "Neutral", IF(Table1[[#This Row],[EmpSatisfaction]] = 4, "Satisfied", IF(Table1[[#This Row],[EmpSatisfaction]]=5,"Very Satisfied", " ")))))</f>
        <v>Satisfied</v>
      </c>
      <c r="AE229">
        <f>YEAR(Table1[[#This Row],[DateofHire]])</f>
        <v>2011</v>
      </c>
      <c r="AF229" t="s">
        <v>535</v>
      </c>
    </row>
    <row r="230" spans="1:32" x14ac:dyDescent="0.3">
      <c r="A230" t="s">
        <v>351</v>
      </c>
      <c r="B230">
        <v>10239</v>
      </c>
      <c r="C230" t="s">
        <v>455</v>
      </c>
      <c r="D230" t="s">
        <v>488</v>
      </c>
      <c r="E230">
        <v>10197</v>
      </c>
      <c r="F230" s="1">
        <v>42645</v>
      </c>
      <c r="G230" s="7">
        <v>95920</v>
      </c>
      <c r="H230" t="s">
        <v>499</v>
      </c>
      <c r="I230" s="1">
        <v>29353</v>
      </c>
      <c r="J230" t="s">
        <v>31</v>
      </c>
      <c r="K230" t="s">
        <v>23</v>
      </c>
      <c r="L230" t="s">
        <v>57</v>
      </c>
      <c r="M230" t="s">
        <v>21</v>
      </c>
      <c r="N230">
        <v>2110</v>
      </c>
      <c r="P230" t="s">
        <v>512</v>
      </c>
      <c r="Q230" t="s">
        <v>25</v>
      </c>
      <c r="R230" t="s">
        <v>35</v>
      </c>
      <c r="S230" t="s">
        <v>36</v>
      </c>
      <c r="T230">
        <v>4.4000000000000004</v>
      </c>
      <c r="U230">
        <v>4</v>
      </c>
      <c r="V230" s="1">
        <v>43502</v>
      </c>
      <c r="W230">
        <v>10</v>
      </c>
      <c r="X230" t="str">
        <f>INDEX(Position!B:B,MATCH(Table1[[#This Row],[Position ID]],Position!A:A, 0 ))</f>
        <v>BI Developer</v>
      </c>
      <c r="Y230" t="str">
        <f>INDEX(Department!B:B,MATCH(Table1[[#This Row],[Department ID]],Department!A:A,0))</f>
        <v>IT/IS</v>
      </c>
      <c r="Z230" t="str">
        <f>INDEX(Manager!B:B,MATCH(Table1[[#This Row],[Manger ID]],Manager!A:A,0))</f>
        <v>Brian Champaigne</v>
      </c>
      <c r="AA230">
        <f ca="1">DATEDIF(Table1[[#This Row],[DOB]],TODAY(), "Y")</f>
        <v>43</v>
      </c>
      <c r="AB230" t="str">
        <f ca="1">IF(Table1[[#This Row],[ Age]]&lt;18,"Less than 18",IF(Table1[[#This Row],[ Age]]&lt;=29,"18-29",IF(Table1[[#This Row],[ Age]]&lt;=49,"30-49",IF(Table1[[#This Row],[ Age]]&lt;=59,"50-59","60 or more"))))</f>
        <v>30-49</v>
      </c>
      <c r="AC230" s="8">
        <f ca="1">IF(ISBLANK(Table1[[#This Row],[DateofTermination]]),DATEDIF(Table1[[#This Row],[DateofHire]],TODAY(), "M"),DATEDIF(Table1[[#This Row],[DateofHire]],Table1[[#This Row],[DateofTermination]],"M"))/12</f>
        <v>7.5</v>
      </c>
      <c r="AD230" t="str">
        <f>IF(Table1[[#This Row],[EmpSatisfaction]]=1,"Very Dissatisfied", IF(Table1[[#This Row],[EmpSatisfaction]] = 2, "Dissatisfied", IF(Table1[[#This Row],[EmpSatisfaction]]  = 3, "Neutral", IF(Table1[[#This Row],[EmpSatisfaction]] = 4, "Satisfied", IF(Table1[[#This Row],[EmpSatisfaction]]=5,"Very Satisfied", " ")))))</f>
        <v>Satisfied</v>
      </c>
      <c r="AE230">
        <f>YEAR(Table1[[#This Row],[DateofHire]])</f>
        <v>2016</v>
      </c>
      <c r="AF230" t="s">
        <v>25</v>
      </c>
    </row>
    <row r="231" spans="1:32" hidden="1" x14ac:dyDescent="0.3">
      <c r="A231" t="s">
        <v>352</v>
      </c>
      <c r="B231">
        <v>10152</v>
      </c>
      <c r="C231" t="s">
        <v>474</v>
      </c>
      <c r="D231" t="s">
        <v>489</v>
      </c>
      <c r="E231">
        <v>10026</v>
      </c>
      <c r="F231" s="1">
        <v>40812</v>
      </c>
      <c r="G231" s="7">
        <v>61729</v>
      </c>
      <c r="H231" t="s">
        <v>498</v>
      </c>
      <c r="I231" s="1">
        <v>31047</v>
      </c>
      <c r="J231" t="s">
        <v>43</v>
      </c>
      <c r="K231" t="s">
        <v>23</v>
      </c>
      <c r="L231" t="s">
        <v>24</v>
      </c>
      <c r="M231" t="s">
        <v>21</v>
      </c>
      <c r="N231">
        <v>2478</v>
      </c>
      <c r="O231" s="1">
        <v>43197</v>
      </c>
      <c r="P231" t="s">
        <v>523</v>
      </c>
      <c r="Q231" t="s">
        <v>32</v>
      </c>
      <c r="R231" t="s">
        <v>35</v>
      </c>
      <c r="S231" t="s">
        <v>36</v>
      </c>
      <c r="T231">
        <v>3.8</v>
      </c>
      <c r="U231">
        <v>5</v>
      </c>
      <c r="V231" s="1">
        <v>43135</v>
      </c>
      <c r="W231">
        <v>19</v>
      </c>
      <c r="X231" t="str">
        <f>INDEX(Position!B:B,MATCH(Table1[[#This Row],[Position ID]],Position!A:A, 0 ))</f>
        <v>Production Technician I</v>
      </c>
      <c r="Y231" t="str">
        <f>INDEX(Department!B:B,MATCH(Table1[[#This Row],[Department ID]],Department!A:A,0))</f>
        <v>Production</v>
      </c>
      <c r="Z231" t="str">
        <f>INDEX(Manager!B:B,MATCH(Table1[[#This Row],[Manger ID]],Manager!A:A,0))</f>
        <v>Michael Albert</v>
      </c>
      <c r="AA231">
        <f ca="1">DATEDIF(Table1[[#This Row],[DOB]],TODAY(), "Y")</f>
        <v>39</v>
      </c>
      <c r="AB231" t="str">
        <f ca="1">IF(Table1[[#This Row],[ Age]]&lt;18,"Less than 18",IF(Table1[[#This Row],[ Age]]&lt;=29,"18-29",IF(Table1[[#This Row],[ Age]]&lt;=49,"30-49",IF(Table1[[#This Row],[ Age]]&lt;=59,"50-59","60 or more"))))</f>
        <v>30-49</v>
      </c>
      <c r="AC231" s="8">
        <f ca="1">IF(ISBLANK(Table1[[#This Row],[DateofTermination]]),DATEDIF(Table1[[#This Row],[DateofHire]],TODAY(), "M"),DATEDIF(Table1[[#This Row],[DateofHire]],Table1[[#This Row],[DateofTermination]],"M"))/12</f>
        <v>6.5</v>
      </c>
      <c r="AD231" t="str">
        <f>IF(Table1[[#This Row],[EmpSatisfaction]]=1,"Very Dissatisfied", IF(Table1[[#This Row],[EmpSatisfaction]] = 2, "Dissatisfied", IF(Table1[[#This Row],[EmpSatisfaction]]  = 3, "Neutral", IF(Table1[[#This Row],[EmpSatisfaction]] = 4, "Satisfied", IF(Table1[[#This Row],[EmpSatisfaction]]=5,"Very Satisfied", " ")))))</f>
        <v>Very Satisfied</v>
      </c>
      <c r="AE231">
        <f>YEAR(Table1[[#This Row],[DateofHire]])</f>
        <v>2011</v>
      </c>
      <c r="AF231" t="s">
        <v>535</v>
      </c>
    </row>
    <row r="232" spans="1:32" x14ac:dyDescent="0.3">
      <c r="A232" t="s">
        <v>353</v>
      </c>
      <c r="B232">
        <v>10140</v>
      </c>
      <c r="C232" t="s">
        <v>454</v>
      </c>
      <c r="D232" t="s">
        <v>490</v>
      </c>
      <c r="E232">
        <v>10188</v>
      </c>
      <c r="F232" s="1">
        <v>41771</v>
      </c>
      <c r="G232" s="7">
        <v>61809</v>
      </c>
      <c r="H232" t="s">
        <v>498</v>
      </c>
      <c r="I232" s="1">
        <v>20009</v>
      </c>
      <c r="J232" t="s">
        <v>31</v>
      </c>
      <c r="K232" t="s">
        <v>23</v>
      </c>
      <c r="L232" t="s">
        <v>24</v>
      </c>
      <c r="M232" t="s">
        <v>354</v>
      </c>
      <c r="N232">
        <v>83706</v>
      </c>
      <c r="P232" t="s">
        <v>512</v>
      </c>
      <c r="Q232" t="s">
        <v>25</v>
      </c>
      <c r="R232" t="s">
        <v>87</v>
      </c>
      <c r="S232" t="s">
        <v>36</v>
      </c>
      <c r="T232">
        <v>3.98</v>
      </c>
      <c r="U232">
        <v>3</v>
      </c>
      <c r="V232" s="1">
        <v>43493</v>
      </c>
      <c r="W232">
        <v>4</v>
      </c>
      <c r="X232" t="str">
        <f>INDEX(Position!B:B,MATCH(Table1[[#This Row],[Position ID]],Position!A:A, 0 ))</f>
        <v>Area Sales Manager</v>
      </c>
      <c r="Y232" t="str">
        <f>INDEX(Department!B:B,MATCH(Table1[[#This Row],[Department ID]],Department!A:A,0))</f>
        <v>Sales</v>
      </c>
      <c r="Z232" t="str">
        <f>INDEX(Manager!B:B,MATCH(Table1[[#This Row],[Manger ID]],Manager!A:A,0))</f>
        <v>John Smith</v>
      </c>
      <c r="AA232">
        <f ca="1">DATEDIF(Table1[[#This Row],[DOB]],TODAY(), "Y")</f>
        <v>69</v>
      </c>
      <c r="AB232" t="str">
        <f ca="1">IF(Table1[[#This Row],[ Age]]&lt;18,"Less than 18",IF(Table1[[#This Row],[ Age]]&lt;=29,"18-29",IF(Table1[[#This Row],[ Age]]&lt;=49,"30-49",IF(Table1[[#This Row],[ Age]]&lt;=59,"50-59","60 or more"))))</f>
        <v>60 or more</v>
      </c>
      <c r="AC232" s="8">
        <f ca="1">IF(ISBLANK(Table1[[#This Row],[DateofTermination]]),DATEDIF(Table1[[#This Row],[DateofHire]],TODAY(), "M"),DATEDIF(Table1[[#This Row],[DateofHire]],Table1[[#This Row],[DateofTermination]],"M"))/12</f>
        <v>9.8333333333333339</v>
      </c>
      <c r="AD232" t="str">
        <f>IF(Table1[[#This Row],[EmpSatisfaction]]=1,"Very Dissatisfied", IF(Table1[[#This Row],[EmpSatisfaction]] = 2, "Dissatisfied", IF(Table1[[#This Row],[EmpSatisfaction]]  = 3, "Neutral", IF(Table1[[#This Row],[EmpSatisfaction]] = 4, "Satisfied", IF(Table1[[#This Row],[EmpSatisfaction]]=5,"Very Satisfied", " ")))))</f>
        <v>Neutral</v>
      </c>
      <c r="AE232">
        <f>YEAR(Table1[[#This Row],[DateofHire]])</f>
        <v>2014</v>
      </c>
      <c r="AF232" t="s">
        <v>25</v>
      </c>
    </row>
    <row r="233" spans="1:32" hidden="1" x14ac:dyDescent="0.3">
      <c r="A233" t="s">
        <v>355</v>
      </c>
      <c r="B233">
        <v>10058</v>
      </c>
      <c r="C233" t="s">
        <v>474</v>
      </c>
      <c r="D233" t="s">
        <v>489</v>
      </c>
      <c r="E233">
        <v>10088</v>
      </c>
      <c r="F233" s="1">
        <v>40679</v>
      </c>
      <c r="G233" s="7">
        <v>45115</v>
      </c>
      <c r="H233" t="s">
        <v>498</v>
      </c>
      <c r="I233" s="1">
        <v>30154</v>
      </c>
      <c r="J233" t="s">
        <v>43</v>
      </c>
      <c r="K233" t="s">
        <v>23</v>
      </c>
      <c r="L233" t="s">
        <v>24</v>
      </c>
      <c r="M233" t="s">
        <v>21</v>
      </c>
      <c r="N233">
        <v>2176</v>
      </c>
      <c r="O233" s="1">
        <v>42384</v>
      </c>
      <c r="P233" t="s">
        <v>521</v>
      </c>
      <c r="Q233" t="s">
        <v>32</v>
      </c>
      <c r="R233" t="s">
        <v>27</v>
      </c>
      <c r="S233" t="s">
        <v>36</v>
      </c>
      <c r="T233">
        <v>5</v>
      </c>
      <c r="U233">
        <v>4</v>
      </c>
      <c r="V233" s="1">
        <v>42093</v>
      </c>
      <c r="W233">
        <v>11</v>
      </c>
      <c r="X233" t="str">
        <f>INDEX(Position!B:B,MATCH(Table1[[#This Row],[Position ID]],Position!A:A, 0 ))</f>
        <v>Production Technician I</v>
      </c>
      <c r="Y233" t="str">
        <f>INDEX(Department!B:B,MATCH(Table1[[#This Row],[Department ID]],Department!A:A,0))</f>
        <v>Production</v>
      </c>
      <c r="Z233" t="str">
        <f>INDEX(Manager!B:B,MATCH(Table1[[#This Row],[Manger ID]],Manager!A:A,0))</f>
        <v>Elijiah Gray</v>
      </c>
      <c r="AA233">
        <f ca="1">DATEDIF(Table1[[#This Row],[DOB]],TODAY(), "Y")</f>
        <v>41</v>
      </c>
      <c r="AB233" t="str">
        <f ca="1">IF(Table1[[#This Row],[ Age]]&lt;18,"Less than 18",IF(Table1[[#This Row],[ Age]]&lt;=29,"18-29",IF(Table1[[#This Row],[ Age]]&lt;=49,"30-49",IF(Table1[[#This Row],[ Age]]&lt;=59,"50-59","60 or more"))))</f>
        <v>30-49</v>
      </c>
      <c r="AC233" s="8">
        <f ca="1">IF(ISBLANK(Table1[[#This Row],[DateofTermination]]),DATEDIF(Table1[[#This Row],[DateofHire]],TODAY(), "M"),DATEDIF(Table1[[#This Row],[DateofHire]],Table1[[#This Row],[DateofTermination]],"M"))/12</f>
        <v>4.583333333333333</v>
      </c>
      <c r="AD233" t="str">
        <f>IF(Table1[[#This Row],[EmpSatisfaction]]=1,"Very Dissatisfied", IF(Table1[[#This Row],[EmpSatisfaction]] = 2, "Dissatisfied", IF(Table1[[#This Row],[EmpSatisfaction]]  = 3, "Neutral", IF(Table1[[#This Row],[EmpSatisfaction]] = 4, "Satisfied", IF(Table1[[#This Row],[EmpSatisfaction]]=5,"Very Satisfied", " ")))))</f>
        <v>Satisfied</v>
      </c>
      <c r="AE233">
        <f>YEAR(Table1[[#This Row],[DateofHire]])</f>
        <v>2011</v>
      </c>
      <c r="AF233" t="s">
        <v>535</v>
      </c>
    </row>
    <row r="234" spans="1:32" x14ac:dyDescent="0.3">
      <c r="A234" t="s">
        <v>356</v>
      </c>
      <c r="B234">
        <v>10011</v>
      </c>
      <c r="C234" t="s">
        <v>474</v>
      </c>
      <c r="D234" t="s">
        <v>489</v>
      </c>
      <c r="E234">
        <v>10069</v>
      </c>
      <c r="F234" s="1">
        <v>40875</v>
      </c>
      <c r="G234" s="7">
        <v>46738</v>
      </c>
      <c r="H234" t="s">
        <v>499</v>
      </c>
      <c r="I234" s="1">
        <v>26676</v>
      </c>
      <c r="J234" t="s">
        <v>31</v>
      </c>
      <c r="K234" t="s">
        <v>23</v>
      </c>
      <c r="L234" t="s">
        <v>82</v>
      </c>
      <c r="M234" t="s">
        <v>21</v>
      </c>
      <c r="N234">
        <v>2171</v>
      </c>
      <c r="P234" t="s">
        <v>512</v>
      </c>
      <c r="Q234" t="s">
        <v>25</v>
      </c>
      <c r="R234" t="s">
        <v>45</v>
      </c>
      <c r="S234" t="s">
        <v>28</v>
      </c>
      <c r="T234">
        <v>4.3600000000000003</v>
      </c>
      <c r="U234">
        <v>5</v>
      </c>
      <c r="V234" s="1">
        <v>43507</v>
      </c>
      <c r="W234">
        <v>16</v>
      </c>
      <c r="X234" t="str">
        <f>INDEX(Position!B:B,MATCH(Table1[[#This Row],[Position ID]],Position!A:A, 0 ))</f>
        <v>Production Technician I</v>
      </c>
      <c r="Y234" t="str">
        <f>INDEX(Department!B:B,MATCH(Table1[[#This Row],[Department ID]],Department!A:A,0))</f>
        <v>Production</v>
      </c>
      <c r="Z234" t="str">
        <f>INDEX(Manager!B:B,MATCH(Table1[[#This Row],[Manger ID]],Manager!A:A,0))</f>
        <v>Webster Butler</v>
      </c>
      <c r="AA234">
        <f ca="1">DATEDIF(Table1[[#This Row],[DOB]],TODAY(), "Y")</f>
        <v>51</v>
      </c>
      <c r="AB234" t="str">
        <f ca="1">IF(Table1[[#This Row],[ Age]]&lt;18,"Less than 18",IF(Table1[[#This Row],[ Age]]&lt;=29,"18-29",IF(Table1[[#This Row],[ Age]]&lt;=49,"30-49",IF(Table1[[#This Row],[ Age]]&lt;=59,"50-59","60 or more"))))</f>
        <v>50-59</v>
      </c>
      <c r="AC234" s="8">
        <f ca="1">IF(ISBLANK(Table1[[#This Row],[DateofTermination]]),DATEDIF(Table1[[#This Row],[DateofHire]],TODAY(), "M"),DATEDIF(Table1[[#This Row],[DateofHire]],Table1[[#This Row],[DateofTermination]],"M"))/12</f>
        <v>12.333333333333334</v>
      </c>
      <c r="AD234" t="str">
        <f>IF(Table1[[#This Row],[EmpSatisfaction]]=1,"Very Dissatisfied", IF(Table1[[#This Row],[EmpSatisfaction]] = 2, "Dissatisfied", IF(Table1[[#This Row],[EmpSatisfaction]]  = 3, "Neutral", IF(Table1[[#This Row],[EmpSatisfaction]] = 4, "Satisfied", IF(Table1[[#This Row],[EmpSatisfaction]]=5,"Very Satisfied", " ")))))</f>
        <v>Very Satisfied</v>
      </c>
      <c r="AE234">
        <f>YEAR(Table1[[#This Row],[DateofHire]])</f>
        <v>2011</v>
      </c>
      <c r="AF234" t="s">
        <v>25</v>
      </c>
    </row>
    <row r="235" spans="1:32" hidden="1" x14ac:dyDescent="0.3">
      <c r="A235" t="s">
        <v>357</v>
      </c>
      <c r="B235">
        <v>10230</v>
      </c>
      <c r="C235" t="s">
        <v>475</v>
      </c>
      <c r="D235" t="s">
        <v>489</v>
      </c>
      <c r="E235">
        <v>10252</v>
      </c>
      <c r="F235" s="1">
        <v>40812</v>
      </c>
      <c r="G235" s="7">
        <v>64971</v>
      </c>
      <c r="H235" t="s">
        <v>499</v>
      </c>
      <c r="I235" s="1">
        <v>29834</v>
      </c>
      <c r="J235" t="s">
        <v>43</v>
      </c>
      <c r="K235" t="s">
        <v>78</v>
      </c>
      <c r="L235" t="s">
        <v>57</v>
      </c>
      <c r="M235" t="s">
        <v>21</v>
      </c>
      <c r="N235">
        <v>1902</v>
      </c>
      <c r="O235" s="1">
        <v>40838</v>
      </c>
      <c r="P235" t="s">
        <v>515</v>
      </c>
      <c r="Q235" t="s">
        <v>32</v>
      </c>
      <c r="R235" t="s">
        <v>45</v>
      </c>
      <c r="S235" t="s">
        <v>36</v>
      </c>
      <c r="T235">
        <v>4.5</v>
      </c>
      <c r="U235">
        <v>4</v>
      </c>
      <c r="V235" s="1">
        <v>40838</v>
      </c>
      <c r="W235">
        <v>10</v>
      </c>
      <c r="X235" t="str">
        <f>INDEX(Position!B:B,MATCH(Table1[[#This Row],[Position ID]],Position!A:A, 0 ))</f>
        <v>Production Technician II</v>
      </c>
      <c r="Y235" t="str">
        <f>INDEX(Department!B:B,MATCH(Table1[[#This Row],[Department ID]],Department!A:A,0))</f>
        <v>Production</v>
      </c>
      <c r="Z235" t="str">
        <f>INDEX(Manager!B:B,MATCH(Table1[[#This Row],[Manger ID]],Manager!A:A,0))</f>
        <v>David Stanley</v>
      </c>
      <c r="AA235">
        <f ca="1">DATEDIF(Table1[[#This Row],[DOB]],TODAY(), "Y")</f>
        <v>42</v>
      </c>
      <c r="AB235" t="str">
        <f ca="1">IF(Table1[[#This Row],[ Age]]&lt;18,"Less than 18",IF(Table1[[#This Row],[ Age]]&lt;=29,"18-29",IF(Table1[[#This Row],[ Age]]&lt;=49,"30-49",IF(Table1[[#This Row],[ Age]]&lt;=59,"50-59","60 or more"))))</f>
        <v>30-49</v>
      </c>
      <c r="AC235" s="8">
        <f ca="1">IF(ISBLANK(Table1[[#This Row],[DateofTermination]]),DATEDIF(Table1[[#This Row],[DateofHire]],TODAY(), "M"),DATEDIF(Table1[[#This Row],[DateofHire]],Table1[[#This Row],[DateofTermination]],"M"))/12</f>
        <v>0</v>
      </c>
      <c r="AD235" t="str">
        <f>IF(Table1[[#This Row],[EmpSatisfaction]]=1,"Very Dissatisfied", IF(Table1[[#This Row],[EmpSatisfaction]] = 2, "Dissatisfied", IF(Table1[[#This Row],[EmpSatisfaction]]  = 3, "Neutral", IF(Table1[[#This Row],[EmpSatisfaction]] = 4, "Satisfied", IF(Table1[[#This Row],[EmpSatisfaction]]=5,"Very Satisfied", " ")))))</f>
        <v>Satisfied</v>
      </c>
      <c r="AE235">
        <f>YEAR(Table1[[#This Row],[DateofHire]])</f>
        <v>2011</v>
      </c>
      <c r="AF235" t="s">
        <v>535</v>
      </c>
    </row>
    <row r="236" spans="1:32" hidden="1" x14ac:dyDescent="0.3">
      <c r="A236" t="s">
        <v>358</v>
      </c>
      <c r="B236">
        <v>10224</v>
      </c>
      <c r="C236" t="s">
        <v>475</v>
      </c>
      <c r="D236" t="s">
        <v>489</v>
      </c>
      <c r="E236">
        <v>10196</v>
      </c>
      <c r="F236" s="1">
        <v>40729</v>
      </c>
      <c r="G236" s="7">
        <v>55578</v>
      </c>
      <c r="H236" t="s">
        <v>498</v>
      </c>
      <c r="I236" s="1">
        <v>26483</v>
      </c>
      <c r="J236" t="s">
        <v>31</v>
      </c>
      <c r="K236" t="s">
        <v>23</v>
      </c>
      <c r="L236" t="s">
        <v>24</v>
      </c>
      <c r="M236" t="s">
        <v>21</v>
      </c>
      <c r="N236">
        <v>2138</v>
      </c>
      <c r="O236" s="1">
        <v>40947</v>
      </c>
      <c r="P236" t="s">
        <v>516</v>
      </c>
      <c r="Q236" t="s">
        <v>32</v>
      </c>
      <c r="R236" t="s">
        <v>35</v>
      </c>
      <c r="S236" t="s">
        <v>36</v>
      </c>
      <c r="T236">
        <v>4.2</v>
      </c>
      <c r="U236">
        <v>5</v>
      </c>
      <c r="V236" s="1">
        <v>40914</v>
      </c>
      <c r="W236">
        <v>13</v>
      </c>
      <c r="X236" t="str">
        <f>INDEX(Position!B:B,MATCH(Table1[[#This Row],[Position ID]],Position!A:A, 0 ))</f>
        <v>Production Technician II</v>
      </c>
      <c r="Y236" t="str">
        <f>INDEX(Department!B:B,MATCH(Table1[[#This Row],[Department ID]],Department!A:A,0))</f>
        <v>Production</v>
      </c>
      <c r="Z236" t="str">
        <f>INDEX(Manager!B:B,MATCH(Table1[[#This Row],[Manger ID]],Manager!A:A,0))</f>
        <v>Kissy Sullivan</v>
      </c>
      <c r="AA236">
        <f ca="1">DATEDIF(Table1[[#This Row],[DOB]],TODAY(), "Y")</f>
        <v>51</v>
      </c>
      <c r="AB236" t="str">
        <f ca="1">IF(Table1[[#This Row],[ Age]]&lt;18,"Less than 18",IF(Table1[[#This Row],[ Age]]&lt;=29,"18-29",IF(Table1[[#This Row],[ Age]]&lt;=49,"30-49",IF(Table1[[#This Row],[ Age]]&lt;=59,"50-59","60 or more"))))</f>
        <v>50-59</v>
      </c>
      <c r="AC236" s="8">
        <f ca="1">IF(ISBLANK(Table1[[#This Row],[DateofTermination]]),DATEDIF(Table1[[#This Row],[DateofHire]],TODAY(), "M"),DATEDIF(Table1[[#This Row],[DateofHire]],Table1[[#This Row],[DateofTermination]],"M"))/12</f>
        <v>0.58333333333333337</v>
      </c>
      <c r="AD236" t="str">
        <f>IF(Table1[[#This Row],[EmpSatisfaction]]=1,"Very Dissatisfied", IF(Table1[[#This Row],[EmpSatisfaction]] = 2, "Dissatisfied", IF(Table1[[#This Row],[EmpSatisfaction]]  = 3, "Neutral", IF(Table1[[#This Row],[EmpSatisfaction]] = 4, "Satisfied", IF(Table1[[#This Row],[EmpSatisfaction]]=5,"Very Satisfied", " ")))))</f>
        <v>Very Satisfied</v>
      </c>
      <c r="AE236">
        <f>YEAR(Table1[[#This Row],[DateofHire]])</f>
        <v>2011</v>
      </c>
      <c r="AF236" t="s">
        <v>535</v>
      </c>
    </row>
    <row r="237" spans="1:32" hidden="1" x14ac:dyDescent="0.3">
      <c r="A237" t="s">
        <v>359</v>
      </c>
      <c r="B237">
        <v>10047</v>
      </c>
      <c r="C237" t="s">
        <v>474</v>
      </c>
      <c r="D237" t="s">
        <v>489</v>
      </c>
      <c r="E237">
        <v>10002</v>
      </c>
      <c r="F237" s="1">
        <v>40553</v>
      </c>
      <c r="G237" s="7">
        <v>50428</v>
      </c>
      <c r="H237" t="s">
        <v>498</v>
      </c>
      <c r="I237" s="1">
        <v>27036</v>
      </c>
      <c r="J237" t="s">
        <v>31</v>
      </c>
      <c r="K237" t="s">
        <v>23</v>
      </c>
      <c r="L237" t="s">
        <v>57</v>
      </c>
      <c r="M237" t="s">
        <v>21</v>
      </c>
      <c r="N237">
        <v>1420</v>
      </c>
      <c r="O237" s="1">
        <v>42395</v>
      </c>
      <c r="P237" t="s">
        <v>518</v>
      </c>
      <c r="Q237" t="s">
        <v>32</v>
      </c>
      <c r="R237" t="s">
        <v>35</v>
      </c>
      <c r="S237" t="s">
        <v>36</v>
      </c>
      <c r="T237">
        <v>5</v>
      </c>
      <c r="U237">
        <v>3</v>
      </c>
      <c r="V237" s="1">
        <v>42014</v>
      </c>
      <c r="W237">
        <v>11</v>
      </c>
      <c r="X237" t="str">
        <f>INDEX(Position!B:B,MATCH(Table1[[#This Row],[Position ID]],Position!A:A, 0 ))</f>
        <v>Production Technician I</v>
      </c>
      <c r="Y237" t="str">
        <f>INDEX(Department!B:B,MATCH(Table1[[#This Row],[Department ID]],Department!A:A,0))</f>
        <v>Production</v>
      </c>
      <c r="Z237" t="str">
        <f>INDEX(Manager!B:B,MATCH(Table1[[#This Row],[Manger ID]],Manager!A:A,0))</f>
        <v>Amy Dunn</v>
      </c>
      <c r="AA237">
        <f ca="1">DATEDIF(Table1[[#This Row],[DOB]],TODAY(), "Y")</f>
        <v>50</v>
      </c>
      <c r="AB237" t="str">
        <f ca="1">IF(Table1[[#This Row],[ Age]]&lt;18,"Less than 18",IF(Table1[[#This Row],[ Age]]&lt;=29,"18-29",IF(Table1[[#This Row],[ Age]]&lt;=49,"30-49",IF(Table1[[#This Row],[ Age]]&lt;=59,"50-59","60 or more"))))</f>
        <v>50-59</v>
      </c>
      <c r="AC237" s="8">
        <f ca="1">IF(ISBLANK(Table1[[#This Row],[DateofTermination]]),DATEDIF(Table1[[#This Row],[DateofHire]],TODAY(), "M"),DATEDIF(Table1[[#This Row],[DateofHire]],Table1[[#This Row],[DateofTermination]],"M"))/12</f>
        <v>5</v>
      </c>
      <c r="AD237" t="str">
        <f>IF(Table1[[#This Row],[EmpSatisfaction]]=1,"Very Dissatisfied", IF(Table1[[#This Row],[EmpSatisfaction]] = 2, "Dissatisfied", IF(Table1[[#This Row],[EmpSatisfaction]]  = 3, "Neutral", IF(Table1[[#This Row],[EmpSatisfaction]] = 4, "Satisfied", IF(Table1[[#This Row],[EmpSatisfaction]]=5,"Very Satisfied", " ")))))</f>
        <v>Neutral</v>
      </c>
      <c r="AE237">
        <f>YEAR(Table1[[#This Row],[DateofHire]])</f>
        <v>2011</v>
      </c>
      <c r="AF237" t="s">
        <v>535</v>
      </c>
    </row>
    <row r="238" spans="1:32" hidden="1" x14ac:dyDescent="0.3">
      <c r="A238" t="s">
        <v>360</v>
      </c>
      <c r="B238">
        <v>10285</v>
      </c>
      <c r="C238" t="s">
        <v>474</v>
      </c>
      <c r="D238" t="s">
        <v>489</v>
      </c>
      <c r="E238">
        <v>10062</v>
      </c>
      <c r="F238" s="1">
        <v>40553</v>
      </c>
      <c r="G238" s="7">
        <v>61422</v>
      </c>
      <c r="H238" t="s">
        <v>499</v>
      </c>
      <c r="I238" s="1">
        <v>31054</v>
      </c>
      <c r="J238" t="s">
        <v>31</v>
      </c>
      <c r="K238" t="s">
        <v>23</v>
      </c>
      <c r="L238" t="s">
        <v>24</v>
      </c>
      <c r="M238" t="s">
        <v>21</v>
      </c>
      <c r="N238">
        <v>1460</v>
      </c>
      <c r="O238" s="1">
        <v>42507</v>
      </c>
      <c r="P238" t="s">
        <v>518</v>
      </c>
      <c r="Q238" t="s">
        <v>75</v>
      </c>
      <c r="R238" t="s">
        <v>35</v>
      </c>
      <c r="S238" t="s">
        <v>88</v>
      </c>
      <c r="T238">
        <v>3.6</v>
      </c>
      <c r="U238">
        <v>3</v>
      </c>
      <c r="V238" s="1">
        <v>42465</v>
      </c>
      <c r="W238">
        <v>16</v>
      </c>
      <c r="X238" t="str">
        <f>INDEX(Position!B:B,MATCH(Table1[[#This Row],[Position ID]],Position!A:A, 0 ))</f>
        <v>Production Technician I</v>
      </c>
      <c r="Y238" t="str">
        <f>INDEX(Department!B:B,MATCH(Table1[[#This Row],[Department ID]],Department!A:A,0))</f>
        <v>Production</v>
      </c>
      <c r="Z238" t="str">
        <f>INDEX(Manager!B:B,MATCH(Table1[[#This Row],[Manger ID]],Manager!A:A,0))</f>
        <v>Ketsia Liebig</v>
      </c>
      <c r="AA238">
        <f ca="1">DATEDIF(Table1[[#This Row],[DOB]],TODAY(), "Y")</f>
        <v>39</v>
      </c>
      <c r="AB238" t="str">
        <f ca="1">IF(Table1[[#This Row],[ Age]]&lt;18,"Less than 18",IF(Table1[[#This Row],[ Age]]&lt;=29,"18-29",IF(Table1[[#This Row],[ Age]]&lt;=49,"30-49",IF(Table1[[#This Row],[ Age]]&lt;=59,"50-59","60 or more"))))</f>
        <v>30-49</v>
      </c>
      <c r="AC238" s="8">
        <f ca="1">IF(ISBLANK(Table1[[#This Row],[DateofTermination]]),DATEDIF(Table1[[#This Row],[DateofHire]],TODAY(), "M"),DATEDIF(Table1[[#This Row],[DateofHire]],Table1[[#This Row],[DateofTermination]],"M"))/12</f>
        <v>5.333333333333333</v>
      </c>
      <c r="AD238" t="str">
        <f>IF(Table1[[#This Row],[EmpSatisfaction]]=1,"Very Dissatisfied", IF(Table1[[#This Row],[EmpSatisfaction]] = 2, "Dissatisfied", IF(Table1[[#This Row],[EmpSatisfaction]]  = 3, "Neutral", IF(Table1[[#This Row],[EmpSatisfaction]] = 4, "Satisfied", IF(Table1[[#This Row],[EmpSatisfaction]]=5,"Very Satisfied", " ")))))</f>
        <v>Neutral</v>
      </c>
      <c r="AE238">
        <f>YEAR(Table1[[#This Row],[DateofHire]])</f>
        <v>2011</v>
      </c>
      <c r="AF238" t="s">
        <v>535</v>
      </c>
    </row>
    <row r="239" spans="1:32" x14ac:dyDescent="0.3">
      <c r="A239" t="s">
        <v>361</v>
      </c>
      <c r="B239">
        <v>10020</v>
      </c>
      <c r="C239" t="s">
        <v>474</v>
      </c>
      <c r="D239" t="s">
        <v>489</v>
      </c>
      <c r="E239">
        <v>10114</v>
      </c>
      <c r="F239" s="1">
        <v>41463</v>
      </c>
      <c r="G239" s="7">
        <v>63353</v>
      </c>
      <c r="H239" t="s">
        <v>498</v>
      </c>
      <c r="I239" s="1">
        <v>31075</v>
      </c>
      <c r="J239" t="s">
        <v>53</v>
      </c>
      <c r="K239" t="s">
        <v>23</v>
      </c>
      <c r="L239" t="s">
        <v>24</v>
      </c>
      <c r="M239" t="s">
        <v>21</v>
      </c>
      <c r="N239">
        <v>1730</v>
      </c>
      <c r="P239" t="s">
        <v>512</v>
      </c>
      <c r="Q239" t="s">
        <v>25</v>
      </c>
      <c r="R239" t="s">
        <v>55</v>
      </c>
      <c r="S239" t="s">
        <v>28</v>
      </c>
      <c r="T239">
        <v>3.6</v>
      </c>
      <c r="U239">
        <v>5</v>
      </c>
      <c r="V239" s="1">
        <v>43507</v>
      </c>
      <c r="W239">
        <v>4</v>
      </c>
      <c r="X239" t="str">
        <f>INDEX(Position!B:B,MATCH(Table1[[#This Row],[Position ID]],Position!A:A, 0 ))</f>
        <v>Production Technician I</v>
      </c>
      <c r="Y239" t="str">
        <f>INDEX(Department!B:B,MATCH(Table1[[#This Row],[Department ID]],Department!A:A,0))</f>
        <v>Production</v>
      </c>
      <c r="Z239" t="str">
        <f>INDEX(Manager!B:B,MATCH(Table1[[#This Row],[Manger ID]],Manager!A:A,0))</f>
        <v>Brannon Miller</v>
      </c>
      <c r="AA239">
        <f ca="1">DATEDIF(Table1[[#This Row],[DOB]],TODAY(), "Y")</f>
        <v>39</v>
      </c>
      <c r="AB239" t="str">
        <f ca="1">IF(Table1[[#This Row],[ Age]]&lt;18,"Less than 18",IF(Table1[[#This Row],[ Age]]&lt;=29,"18-29",IF(Table1[[#This Row],[ Age]]&lt;=49,"30-49",IF(Table1[[#This Row],[ Age]]&lt;=59,"50-59","60 or more"))))</f>
        <v>30-49</v>
      </c>
      <c r="AC239" s="8">
        <f ca="1">IF(ISBLANK(Table1[[#This Row],[DateofTermination]]),DATEDIF(Table1[[#This Row],[DateofHire]],TODAY(), "M"),DATEDIF(Table1[[#This Row],[DateofHire]],Table1[[#This Row],[DateofTermination]],"M"))/12</f>
        <v>10.75</v>
      </c>
      <c r="AD239" t="str">
        <f>IF(Table1[[#This Row],[EmpSatisfaction]]=1,"Very Dissatisfied", IF(Table1[[#This Row],[EmpSatisfaction]] = 2, "Dissatisfied", IF(Table1[[#This Row],[EmpSatisfaction]]  = 3, "Neutral", IF(Table1[[#This Row],[EmpSatisfaction]] = 4, "Satisfied", IF(Table1[[#This Row],[EmpSatisfaction]]=5,"Very Satisfied", " ")))))</f>
        <v>Very Satisfied</v>
      </c>
      <c r="AE239">
        <f>YEAR(Table1[[#This Row],[DateofHire]])</f>
        <v>2013</v>
      </c>
      <c r="AF239" t="s">
        <v>25</v>
      </c>
    </row>
    <row r="240" spans="1:32" x14ac:dyDescent="0.3">
      <c r="A240" t="s">
        <v>362</v>
      </c>
      <c r="B240">
        <v>10162</v>
      </c>
      <c r="C240" t="s">
        <v>458</v>
      </c>
      <c r="D240" t="s">
        <v>488</v>
      </c>
      <c r="E240">
        <v>10084</v>
      </c>
      <c r="F240" s="1">
        <v>42051</v>
      </c>
      <c r="G240" s="7">
        <v>89883</v>
      </c>
      <c r="H240" t="s">
        <v>499</v>
      </c>
      <c r="I240" s="1">
        <v>29870</v>
      </c>
      <c r="J240" t="s">
        <v>31</v>
      </c>
      <c r="K240" t="s">
        <v>23</v>
      </c>
      <c r="L240" t="s">
        <v>24</v>
      </c>
      <c r="M240" t="s">
        <v>21</v>
      </c>
      <c r="N240">
        <v>1886</v>
      </c>
      <c r="P240" t="s">
        <v>512</v>
      </c>
      <c r="Q240" t="s">
        <v>25</v>
      </c>
      <c r="R240" t="s">
        <v>55</v>
      </c>
      <c r="S240" t="s">
        <v>36</v>
      </c>
      <c r="T240">
        <v>3.69</v>
      </c>
      <c r="U240">
        <v>5</v>
      </c>
      <c r="V240" s="1">
        <v>43510</v>
      </c>
      <c r="W240">
        <v>15</v>
      </c>
      <c r="X240" t="str">
        <f>INDEX(Position!B:B,MATCH(Table1[[#This Row],[Position ID]],Position!A:A, 0 ))</f>
        <v>Data Analyst</v>
      </c>
      <c r="Y240" t="str">
        <f>INDEX(Department!B:B,MATCH(Table1[[#This Row],[Department ID]],Department!A:A,0))</f>
        <v>IT/IS</v>
      </c>
      <c r="Z240" t="str">
        <f>INDEX(Manager!B:B,MATCH(Table1[[#This Row],[Manger ID]],Manager!A:A,0))</f>
        <v>Simon Roup</v>
      </c>
      <c r="AA240">
        <f ca="1">DATEDIF(Table1[[#This Row],[DOB]],TODAY(), "Y")</f>
        <v>42</v>
      </c>
      <c r="AB240" t="str">
        <f ca="1">IF(Table1[[#This Row],[ Age]]&lt;18,"Less than 18",IF(Table1[[#This Row],[ Age]]&lt;=29,"18-29",IF(Table1[[#This Row],[ Age]]&lt;=49,"30-49",IF(Table1[[#This Row],[ Age]]&lt;=59,"50-59","60 or more"))))</f>
        <v>30-49</v>
      </c>
      <c r="AC240" s="8">
        <f ca="1">IF(ISBLANK(Table1[[#This Row],[DateofTermination]]),DATEDIF(Table1[[#This Row],[DateofHire]],TODAY(), "M"),DATEDIF(Table1[[#This Row],[DateofHire]],Table1[[#This Row],[DateofTermination]],"M"))/12</f>
        <v>9.0833333333333339</v>
      </c>
      <c r="AD240" t="str">
        <f>IF(Table1[[#This Row],[EmpSatisfaction]]=1,"Very Dissatisfied", IF(Table1[[#This Row],[EmpSatisfaction]] = 2, "Dissatisfied", IF(Table1[[#This Row],[EmpSatisfaction]]  = 3, "Neutral", IF(Table1[[#This Row],[EmpSatisfaction]] = 4, "Satisfied", IF(Table1[[#This Row],[EmpSatisfaction]]=5,"Very Satisfied", " ")))))</f>
        <v>Very Satisfied</v>
      </c>
      <c r="AE240">
        <f>YEAR(Table1[[#This Row],[DateofHire]])</f>
        <v>2015</v>
      </c>
      <c r="AF240" t="s">
        <v>25</v>
      </c>
    </row>
    <row r="241" spans="1:32" hidden="1" x14ac:dyDescent="0.3">
      <c r="A241" t="s">
        <v>363</v>
      </c>
      <c r="B241">
        <v>10149</v>
      </c>
      <c r="C241" t="s">
        <v>472</v>
      </c>
      <c r="D241" t="s">
        <v>488</v>
      </c>
      <c r="E241">
        <v>10084</v>
      </c>
      <c r="F241" s="1">
        <v>42009</v>
      </c>
      <c r="G241" s="7">
        <v>120000</v>
      </c>
      <c r="H241" t="s">
        <v>499</v>
      </c>
      <c r="I241" s="1">
        <v>26811</v>
      </c>
      <c r="J241" t="s">
        <v>22</v>
      </c>
      <c r="K241" t="s">
        <v>23</v>
      </c>
      <c r="L241" t="s">
        <v>24</v>
      </c>
      <c r="M241" t="s">
        <v>21</v>
      </c>
      <c r="N241">
        <v>2703</v>
      </c>
      <c r="O241" s="1">
        <v>43414</v>
      </c>
      <c r="P241" t="s">
        <v>516</v>
      </c>
      <c r="Q241" t="s">
        <v>32</v>
      </c>
      <c r="R241" t="s">
        <v>27</v>
      </c>
      <c r="S241" t="s">
        <v>36</v>
      </c>
      <c r="T241">
        <v>3.88</v>
      </c>
      <c r="U241">
        <v>3</v>
      </c>
      <c r="V241" s="1">
        <v>43144</v>
      </c>
      <c r="W241">
        <v>12</v>
      </c>
      <c r="X241" t="str">
        <f>INDEX(Position!B:B,MATCH(Table1[[#This Row],[Position ID]],Position!A:A, 0 ))</f>
        <v>Principal Data Architect</v>
      </c>
      <c r="Y241" t="str">
        <f>INDEX(Department!B:B,MATCH(Table1[[#This Row],[Department ID]],Department!A:A,0))</f>
        <v>IT/IS</v>
      </c>
      <c r="Z241" t="str">
        <f>INDEX(Manager!B:B,MATCH(Table1[[#This Row],[Manger ID]],Manager!A:A,0))</f>
        <v>Simon Roup</v>
      </c>
      <c r="AA241">
        <f ca="1">DATEDIF(Table1[[#This Row],[DOB]],TODAY(), "Y")</f>
        <v>50</v>
      </c>
      <c r="AB241" t="str">
        <f ca="1">IF(Table1[[#This Row],[ Age]]&lt;18,"Less than 18",IF(Table1[[#This Row],[ Age]]&lt;=29,"18-29",IF(Table1[[#This Row],[ Age]]&lt;=49,"30-49",IF(Table1[[#This Row],[ Age]]&lt;=59,"50-59","60 or more"))))</f>
        <v>50-59</v>
      </c>
      <c r="AC241" s="8">
        <f ca="1">IF(ISBLANK(Table1[[#This Row],[DateofTermination]]),DATEDIF(Table1[[#This Row],[DateofHire]],TODAY(), "M"),DATEDIF(Table1[[#This Row],[DateofHire]],Table1[[#This Row],[DateofTermination]],"M"))/12</f>
        <v>3.8333333333333335</v>
      </c>
      <c r="AD241" t="str">
        <f>IF(Table1[[#This Row],[EmpSatisfaction]]=1,"Very Dissatisfied", IF(Table1[[#This Row],[EmpSatisfaction]] = 2, "Dissatisfied", IF(Table1[[#This Row],[EmpSatisfaction]]  = 3, "Neutral", IF(Table1[[#This Row],[EmpSatisfaction]] = 4, "Satisfied", IF(Table1[[#This Row],[EmpSatisfaction]]=5,"Very Satisfied", " ")))))</f>
        <v>Neutral</v>
      </c>
      <c r="AE241">
        <f>YEAR(Table1[[#This Row],[DateofHire]])</f>
        <v>2015</v>
      </c>
      <c r="AF241" t="s">
        <v>535</v>
      </c>
    </row>
    <row r="242" spans="1:32" x14ac:dyDescent="0.3">
      <c r="A242" t="s">
        <v>365</v>
      </c>
      <c r="B242">
        <v>10086</v>
      </c>
      <c r="C242" t="s">
        <v>460</v>
      </c>
      <c r="D242" t="s">
        <v>488</v>
      </c>
      <c r="E242">
        <v>10197</v>
      </c>
      <c r="F242" s="1">
        <v>42742</v>
      </c>
      <c r="G242" s="7">
        <v>150290</v>
      </c>
      <c r="H242" t="s">
        <v>499</v>
      </c>
      <c r="I242" s="1">
        <v>26624</v>
      </c>
      <c r="J242" t="s">
        <v>22</v>
      </c>
      <c r="K242" t="s">
        <v>23</v>
      </c>
      <c r="L242" t="s">
        <v>57</v>
      </c>
      <c r="M242" t="s">
        <v>21</v>
      </c>
      <c r="N242">
        <v>2056</v>
      </c>
      <c r="P242" t="s">
        <v>512</v>
      </c>
      <c r="Q242" t="s">
        <v>25</v>
      </c>
      <c r="R242" t="s">
        <v>35</v>
      </c>
      <c r="S242" t="s">
        <v>36</v>
      </c>
      <c r="T242">
        <v>4.9400000000000004</v>
      </c>
      <c r="U242">
        <v>3</v>
      </c>
      <c r="V242" s="1">
        <v>43502</v>
      </c>
      <c r="W242">
        <v>17</v>
      </c>
      <c r="X242" t="str">
        <f>INDEX(Position!B:B,MATCH(Table1[[#This Row],[Position ID]],Position!A:A, 0 ))</f>
        <v>Data Architect</v>
      </c>
      <c r="Y242" t="str">
        <f>INDEX(Department!B:B,MATCH(Table1[[#This Row],[Department ID]],Department!A:A,0))</f>
        <v>IT/IS</v>
      </c>
      <c r="Z242" t="str">
        <f>INDEX(Manager!B:B,MATCH(Table1[[#This Row],[Manger ID]],Manager!A:A,0))</f>
        <v>Brian Champaigne</v>
      </c>
      <c r="AA242">
        <f ca="1">DATEDIF(Table1[[#This Row],[DOB]],TODAY(), "Y")</f>
        <v>51</v>
      </c>
      <c r="AB242" t="str">
        <f ca="1">IF(Table1[[#This Row],[ Age]]&lt;18,"Less than 18",IF(Table1[[#This Row],[ Age]]&lt;=29,"18-29",IF(Table1[[#This Row],[ Age]]&lt;=49,"30-49",IF(Table1[[#This Row],[ Age]]&lt;=59,"50-59","60 or more"))))</f>
        <v>50-59</v>
      </c>
      <c r="AC242" s="8">
        <f ca="1">IF(ISBLANK(Table1[[#This Row],[DateofTermination]]),DATEDIF(Table1[[#This Row],[DateofHire]],TODAY(), "M"),DATEDIF(Table1[[#This Row],[DateofHire]],Table1[[#This Row],[DateofTermination]],"M"))/12</f>
        <v>7.25</v>
      </c>
      <c r="AD242" t="str">
        <f>IF(Table1[[#This Row],[EmpSatisfaction]]=1,"Very Dissatisfied", IF(Table1[[#This Row],[EmpSatisfaction]] = 2, "Dissatisfied", IF(Table1[[#This Row],[EmpSatisfaction]]  = 3, "Neutral", IF(Table1[[#This Row],[EmpSatisfaction]] = 4, "Satisfied", IF(Table1[[#This Row],[EmpSatisfaction]]=5,"Very Satisfied", " ")))))</f>
        <v>Neutral</v>
      </c>
      <c r="AE242">
        <f>YEAR(Table1[[#This Row],[DateofHire]])</f>
        <v>2017</v>
      </c>
      <c r="AF242" t="s">
        <v>25</v>
      </c>
    </row>
    <row r="243" spans="1:32" x14ac:dyDescent="0.3">
      <c r="A243" t="s">
        <v>367</v>
      </c>
      <c r="B243">
        <v>10054</v>
      </c>
      <c r="C243" t="s">
        <v>474</v>
      </c>
      <c r="D243" t="s">
        <v>489</v>
      </c>
      <c r="E243">
        <v>10252</v>
      </c>
      <c r="F243" s="1">
        <v>41645</v>
      </c>
      <c r="G243" s="7">
        <v>60627</v>
      </c>
      <c r="H243" t="s">
        <v>499</v>
      </c>
      <c r="I243" s="1">
        <v>27368</v>
      </c>
      <c r="J243" t="s">
        <v>105</v>
      </c>
      <c r="K243" t="s">
        <v>23</v>
      </c>
      <c r="L243" t="s">
        <v>24</v>
      </c>
      <c r="M243" t="s">
        <v>21</v>
      </c>
      <c r="N243">
        <v>1886</v>
      </c>
      <c r="P243" t="s">
        <v>512</v>
      </c>
      <c r="Q243" t="s">
        <v>25</v>
      </c>
      <c r="R243" t="s">
        <v>167</v>
      </c>
      <c r="S243" t="s">
        <v>36</v>
      </c>
      <c r="T243">
        <v>5</v>
      </c>
      <c r="U243">
        <v>4</v>
      </c>
      <c r="V243" s="1">
        <v>43496</v>
      </c>
      <c r="W243">
        <v>8</v>
      </c>
      <c r="X243" t="str">
        <f>INDEX(Position!B:B,MATCH(Table1[[#This Row],[Position ID]],Position!A:A, 0 ))</f>
        <v>Production Technician I</v>
      </c>
      <c r="Y243" t="str">
        <f>INDEX(Department!B:B,MATCH(Table1[[#This Row],[Department ID]],Department!A:A,0))</f>
        <v>Production</v>
      </c>
      <c r="Z243" t="str">
        <f>INDEX(Manager!B:B,MATCH(Table1[[#This Row],[Manger ID]],Manager!A:A,0))</f>
        <v>David Stanley</v>
      </c>
      <c r="AA243">
        <f ca="1">DATEDIF(Table1[[#This Row],[DOB]],TODAY(), "Y")</f>
        <v>49</v>
      </c>
      <c r="AB243" t="str">
        <f ca="1">IF(Table1[[#This Row],[ Age]]&lt;18,"Less than 18",IF(Table1[[#This Row],[ Age]]&lt;=29,"18-29",IF(Table1[[#This Row],[ Age]]&lt;=49,"30-49",IF(Table1[[#This Row],[ Age]]&lt;=59,"50-59","60 or more"))))</f>
        <v>30-49</v>
      </c>
      <c r="AC243" s="8">
        <f ca="1">IF(ISBLANK(Table1[[#This Row],[DateofTermination]]),DATEDIF(Table1[[#This Row],[DateofHire]],TODAY(), "M"),DATEDIF(Table1[[#This Row],[DateofHire]],Table1[[#This Row],[DateofTermination]],"M"))/12</f>
        <v>10.25</v>
      </c>
      <c r="AD243" t="str">
        <f>IF(Table1[[#This Row],[EmpSatisfaction]]=1,"Very Dissatisfied", IF(Table1[[#This Row],[EmpSatisfaction]] = 2, "Dissatisfied", IF(Table1[[#This Row],[EmpSatisfaction]]  = 3, "Neutral", IF(Table1[[#This Row],[EmpSatisfaction]] = 4, "Satisfied", IF(Table1[[#This Row],[EmpSatisfaction]]=5,"Very Satisfied", " ")))))</f>
        <v>Satisfied</v>
      </c>
      <c r="AE243">
        <f>YEAR(Table1[[#This Row],[DateofHire]])</f>
        <v>2014</v>
      </c>
      <c r="AF243" t="s">
        <v>25</v>
      </c>
    </row>
    <row r="244" spans="1:32" hidden="1" x14ac:dyDescent="0.3">
      <c r="A244" t="s">
        <v>368</v>
      </c>
      <c r="B244">
        <v>10065</v>
      </c>
      <c r="C244" t="s">
        <v>474</v>
      </c>
      <c r="D244" t="s">
        <v>489</v>
      </c>
      <c r="E244">
        <v>10196</v>
      </c>
      <c r="F244" s="1">
        <v>40637</v>
      </c>
      <c r="G244" s="7">
        <v>53180</v>
      </c>
      <c r="H244" t="s">
        <v>498</v>
      </c>
      <c r="I244" s="1">
        <v>31854</v>
      </c>
      <c r="J244" t="s">
        <v>22</v>
      </c>
      <c r="K244" t="s">
        <v>23</v>
      </c>
      <c r="L244" t="s">
        <v>24</v>
      </c>
      <c r="M244" t="s">
        <v>21</v>
      </c>
      <c r="N244">
        <v>2155</v>
      </c>
      <c r="O244" s="1">
        <v>43325</v>
      </c>
      <c r="P244" t="s">
        <v>516</v>
      </c>
      <c r="Q244" t="s">
        <v>32</v>
      </c>
      <c r="R244" t="s">
        <v>45</v>
      </c>
      <c r="S244" t="s">
        <v>36</v>
      </c>
      <c r="T244">
        <v>5</v>
      </c>
      <c r="U244">
        <v>5</v>
      </c>
      <c r="V244" s="1">
        <v>43283</v>
      </c>
      <c r="W244">
        <v>4</v>
      </c>
      <c r="X244" t="str">
        <f>INDEX(Position!B:B,MATCH(Table1[[#This Row],[Position ID]],Position!A:A, 0 ))</f>
        <v>Production Technician I</v>
      </c>
      <c r="Y244" t="str">
        <f>INDEX(Department!B:B,MATCH(Table1[[#This Row],[Department ID]],Department!A:A,0))</f>
        <v>Production</v>
      </c>
      <c r="Z244" t="str">
        <f>INDEX(Manager!B:B,MATCH(Table1[[#This Row],[Manger ID]],Manager!A:A,0))</f>
        <v>Kissy Sullivan</v>
      </c>
      <c r="AA244">
        <f ca="1">DATEDIF(Table1[[#This Row],[DOB]],TODAY(), "Y")</f>
        <v>37</v>
      </c>
      <c r="AB244" t="str">
        <f ca="1">IF(Table1[[#This Row],[ Age]]&lt;18,"Less than 18",IF(Table1[[#This Row],[ Age]]&lt;=29,"18-29",IF(Table1[[#This Row],[ Age]]&lt;=49,"30-49",IF(Table1[[#This Row],[ Age]]&lt;=59,"50-59","60 or more"))))</f>
        <v>30-49</v>
      </c>
      <c r="AC244" s="8">
        <f ca="1">IF(ISBLANK(Table1[[#This Row],[DateofTermination]]),DATEDIF(Table1[[#This Row],[DateofHire]],TODAY(), "M"),DATEDIF(Table1[[#This Row],[DateofHire]],Table1[[#This Row],[DateofTermination]],"M"))/12</f>
        <v>7.333333333333333</v>
      </c>
      <c r="AD244" t="str">
        <f>IF(Table1[[#This Row],[EmpSatisfaction]]=1,"Very Dissatisfied", IF(Table1[[#This Row],[EmpSatisfaction]] = 2, "Dissatisfied", IF(Table1[[#This Row],[EmpSatisfaction]]  = 3, "Neutral", IF(Table1[[#This Row],[EmpSatisfaction]] = 4, "Satisfied", IF(Table1[[#This Row],[EmpSatisfaction]]=5,"Very Satisfied", " ")))))</f>
        <v>Very Satisfied</v>
      </c>
      <c r="AE244">
        <f>YEAR(Table1[[#This Row],[DateofHire]])</f>
        <v>2011</v>
      </c>
      <c r="AF244" t="s">
        <v>535</v>
      </c>
    </row>
    <row r="245" spans="1:32" x14ac:dyDescent="0.3">
      <c r="A245" t="s">
        <v>369</v>
      </c>
      <c r="B245">
        <v>10198</v>
      </c>
      <c r="C245" t="s">
        <v>466</v>
      </c>
      <c r="D245" t="s">
        <v>488</v>
      </c>
      <c r="E245">
        <v>10150</v>
      </c>
      <c r="F245" s="1">
        <v>41294</v>
      </c>
      <c r="G245" s="7">
        <v>140920</v>
      </c>
      <c r="H245" t="s">
        <v>498</v>
      </c>
      <c r="I245" s="1">
        <v>26759</v>
      </c>
      <c r="J245" t="s">
        <v>22</v>
      </c>
      <c r="K245" t="s">
        <v>23</v>
      </c>
      <c r="L245" t="s">
        <v>24</v>
      </c>
      <c r="M245" t="s">
        <v>21</v>
      </c>
      <c r="N245">
        <v>2481</v>
      </c>
      <c r="P245" t="s">
        <v>512</v>
      </c>
      <c r="Q245" t="s">
        <v>25</v>
      </c>
      <c r="R245" t="s">
        <v>35</v>
      </c>
      <c r="S245" t="s">
        <v>36</v>
      </c>
      <c r="T245">
        <v>3.6</v>
      </c>
      <c r="U245">
        <v>5</v>
      </c>
      <c r="V245" s="1">
        <v>43514</v>
      </c>
      <c r="W245">
        <v>13</v>
      </c>
      <c r="X245" t="str">
        <f>INDEX(Position!B:B,MATCH(Table1[[#This Row],[Position ID]],Position!A:A, 0 ))</f>
        <v>IT Manager - DB</v>
      </c>
      <c r="Y245" t="str">
        <f>INDEX(Department!B:B,MATCH(Table1[[#This Row],[Department ID]],Department!A:A,0))</f>
        <v>IT/IS</v>
      </c>
      <c r="Z245" t="str">
        <f>INDEX(Manager!B:B,MATCH(Table1[[#This Row],[Manger ID]],Manager!A:A,0))</f>
        <v>Jennifer Zamora</v>
      </c>
      <c r="AA245">
        <f ca="1">DATEDIF(Table1[[#This Row],[DOB]],TODAY(), "Y")</f>
        <v>51</v>
      </c>
      <c r="AB245" t="str">
        <f ca="1">IF(Table1[[#This Row],[ Age]]&lt;18,"Less than 18",IF(Table1[[#This Row],[ Age]]&lt;=29,"18-29",IF(Table1[[#This Row],[ Age]]&lt;=49,"30-49",IF(Table1[[#This Row],[ Age]]&lt;=59,"50-59","60 or more"))))</f>
        <v>50-59</v>
      </c>
      <c r="AC245" s="8">
        <f ca="1">IF(ISBLANK(Table1[[#This Row],[DateofTermination]]),DATEDIF(Table1[[#This Row],[DateofHire]],TODAY(), "M"),DATEDIF(Table1[[#This Row],[DateofHire]],Table1[[#This Row],[DateofTermination]],"M"))/12</f>
        <v>11.166666666666666</v>
      </c>
      <c r="AD245" t="str">
        <f>IF(Table1[[#This Row],[EmpSatisfaction]]=1,"Very Dissatisfied", IF(Table1[[#This Row],[EmpSatisfaction]] = 2, "Dissatisfied", IF(Table1[[#This Row],[EmpSatisfaction]]  = 3, "Neutral", IF(Table1[[#This Row],[EmpSatisfaction]] = 4, "Satisfied", IF(Table1[[#This Row],[EmpSatisfaction]]=5,"Very Satisfied", " ")))))</f>
        <v>Very Satisfied</v>
      </c>
      <c r="AE245">
        <f>YEAR(Table1[[#This Row],[DateofHire]])</f>
        <v>2013</v>
      </c>
      <c r="AF245" t="s">
        <v>25</v>
      </c>
    </row>
    <row r="246" spans="1:32" hidden="1" x14ac:dyDescent="0.3">
      <c r="A246" t="s">
        <v>371</v>
      </c>
      <c r="B246">
        <v>10222</v>
      </c>
      <c r="C246" t="s">
        <v>466</v>
      </c>
      <c r="D246" t="s">
        <v>488</v>
      </c>
      <c r="E246">
        <v>10150</v>
      </c>
      <c r="F246" s="1">
        <v>40917</v>
      </c>
      <c r="G246" s="7">
        <v>148999</v>
      </c>
      <c r="H246" t="s">
        <v>498</v>
      </c>
      <c r="I246" s="1">
        <v>23380</v>
      </c>
      <c r="J246" t="s">
        <v>43</v>
      </c>
      <c r="K246" t="s">
        <v>23</v>
      </c>
      <c r="L246" t="s">
        <v>57</v>
      </c>
      <c r="M246" t="s">
        <v>21</v>
      </c>
      <c r="N246">
        <v>1915</v>
      </c>
      <c r="O246" s="1">
        <v>42312</v>
      </c>
      <c r="P246" t="s">
        <v>514</v>
      </c>
      <c r="Q246" t="s">
        <v>32</v>
      </c>
      <c r="R246" t="s">
        <v>59</v>
      </c>
      <c r="S246" t="s">
        <v>36</v>
      </c>
      <c r="T246">
        <v>4.3</v>
      </c>
      <c r="U246">
        <v>4</v>
      </c>
      <c r="V246" s="1">
        <v>42008</v>
      </c>
      <c r="W246">
        <v>8</v>
      </c>
      <c r="X246" t="str">
        <f>INDEX(Position!B:B,MATCH(Table1[[#This Row],[Position ID]],Position!A:A, 0 ))</f>
        <v>IT Manager - DB</v>
      </c>
      <c r="Y246" t="str">
        <f>INDEX(Department!B:B,MATCH(Table1[[#This Row],[Department ID]],Department!A:A,0))</f>
        <v>IT/IS</v>
      </c>
      <c r="Z246" t="str">
        <f>INDEX(Manager!B:B,MATCH(Table1[[#This Row],[Manger ID]],Manager!A:A,0))</f>
        <v>Jennifer Zamora</v>
      </c>
      <c r="AA246">
        <f ca="1">DATEDIF(Table1[[#This Row],[DOB]],TODAY(), "Y")</f>
        <v>60</v>
      </c>
      <c r="AB246" t="str">
        <f ca="1">IF(Table1[[#This Row],[ Age]]&lt;18,"Less than 18",IF(Table1[[#This Row],[ Age]]&lt;=29,"18-29",IF(Table1[[#This Row],[ Age]]&lt;=49,"30-49",IF(Table1[[#This Row],[ Age]]&lt;=59,"50-59","60 or more"))))</f>
        <v>60 or more</v>
      </c>
      <c r="AC246" s="8">
        <f ca="1">IF(ISBLANK(Table1[[#This Row],[DateofTermination]]),DATEDIF(Table1[[#This Row],[DateofHire]],TODAY(), "M"),DATEDIF(Table1[[#This Row],[DateofHire]],Table1[[#This Row],[DateofTermination]],"M"))/12</f>
        <v>3.75</v>
      </c>
      <c r="AD246" t="str">
        <f>IF(Table1[[#This Row],[EmpSatisfaction]]=1,"Very Dissatisfied", IF(Table1[[#This Row],[EmpSatisfaction]] = 2, "Dissatisfied", IF(Table1[[#This Row],[EmpSatisfaction]]  = 3, "Neutral", IF(Table1[[#This Row],[EmpSatisfaction]] = 4, "Satisfied", IF(Table1[[#This Row],[EmpSatisfaction]]=5,"Very Satisfied", " ")))))</f>
        <v>Satisfied</v>
      </c>
      <c r="AE246">
        <f>YEAR(Table1[[#This Row],[DateofHire]])</f>
        <v>2012</v>
      </c>
      <c r="AF246" t="s">
        <v>535</v>
      </c>
    </row>
    <row r="247" spans="1:32" x14ac:dyDescent="0.3">
      <c r="A247" t="s">
        <v>372</v>
      </c>
      <c r="B247">
        <v>10126</v>
      </c>
      <c r="C247" t="s">
        <v>479</v>
      </c>
      <c r="D247" t="s">
        <v>491</v>
      </c>
      <c r="E247">
        <v>10194</v>
      </c>
      <c r="F247" s="1">
        <v>41218</v>
      </c>
      <c r="G247" s="7">
        <v>86214</v>
      </c>
      <c r="H247" t="s">
        <v>499</v>
      </c>
      <c r="I247" s="1">
        <v>31617</v>
      </c>
      <c r="J247" t="s">
        <v>31</v>
      </c>
      <c r="K247" t="s">
        <v>23</v>
      </c>
      <c r="L247" t="s">
        <v>24</v>
      </c>
      <c r="M247" t="s">
        <v>21</v>
      </c>
      <c r="N247">
        <v>2132</v>
      </c>
      <c r="P247" t="s">
        <v>512</v>
      </c>
      <c r="Q247" t="s">
        <v>25</v>
      </c>
      <c r="R247" t="s">
        <v>35</v>
      </c>
      <c r="S247" t="s">
        <v>36</v>
      </c>
      <c r="T247">
        <v>4.2</v>
      </c>
      <c r="U247">
        <v>3</v>
      </c>
      <c r="V247" s="1">
        <v>43509</v>
      </c>
      <c r="W247">
        <v>2</v>
      </c>
      <c r="X247" t="str">
        <f>INDEX(Position!B:B,MATCH(Table1[[#This Row],[Position ID]],Position!A:A, 0 ))</f>
        <v>Software Engineer</v>
      </c>
      <c r="Y247" t="str">
        <f>INDEX(Department!B:B,MATCH(Table1[[#This Row],[Department ID]],Department!A:A,0))</f>
        <v>Software Engineering</v>
      </c>
      <c r="Z247" t="str">
        <f>INDEX(Manager!B:B,MATCH(Table1[[#This Row],[Manger ID]],Manager!A:A,0))</f>
        <v>Alex Sweetwater</v>
      </c>
      <c r="AA247">
        <f ca="1">DATEDIF(Table1[[#This Row],[DOB]],TODAY(), "Y")</f>
        <v>37</v>
      </c>
      <c r="AB247" t="str">
        <f ca="1">IF(Table1[[#This Row],[ Age]]&lt;18,"Less than 18",IF(Table1[[#This Row],[ Age]]&lt;=29,"18-29",IF(Table1[[#This Row],[ Age]]&lt;=49,"30-49",IF(Table1[[#This Row],[ Age]]&lt;=59,"50-59","60 or more"))))</f>
        <v>30-49</v>
      </c>
      <c r="AC247" s="8">
        <f ca="1">IF(ISBLANK(Table1[[#This Row],[DateofTermination]]),DATEDIF(Table1[[#This Row],[DateofHire]],TODAY(), "M"),DATEDIF(Table1[[#This Row],[DateofHire]],Table1[[#This Row],[DateofTermination]],"M"))/12</f>
        <v>11.416666666666666</v>
      </c>
      <c r="AD247" t="str">
        <f>IF(Table1[[#This Row],[EmpSatisfaction]]=1,"Very Dissatisfied", IF(Table1[[#This Row],[EmpSatisfaction]] = 2, "Dissatisfied", IF(Table1[[#This Row],[EmpSatisfaction]]  = 3, "Neutral", IF(Table1[[#This Row],[EmpSatisfaction]] = 4, "Satisfied", IF(Table1[[#This Row],[EmpSatisfaction]]=5,"Very Satisfied", " ")))))</f>
        <v>Neutral</v>
      </c>
      <c r="AE247">
        <f>YEAR(Table1[[#This Row],[DateofHire]])</f>
        <v>2012</v>
      </c>
      <c r="AF247" t="s">
        <v>25</v>
      </c>
    </row>
    <row r="248" spans="1:32" x14ac:dyDescent="0.3">
      <c r="A248" t="s">
        <v>373</v>
      </c>
      <c r="B248">
        <v>10295</v>
      </c>
      <c r="C248" t="s">
        <v>474</v>
      </c>
      <c r="D248" t="s">
        <v>489</v>
      </c>
      <c r="E248">
        <v>10265</v>
      </c>
      <c r="F248" s="1">
        <v>42555</v>
      </c>
      <c r="G248" s="7">
        <v>47750</v>
      </c>
      <c r="H248" t="s">
        <v>499</v>
      </c>
      <c r="I248" s="1">
        <v>24995</v>
      </c>
      <c r="J248" t="s">
        <v>22</v>
      </c>
      <c r="K248" t="s">
        <v>23</v>
      </c>
      <c r="L248" t="s">
        <v>57</v>
      </c>
      <c r="M248" t="s">
        <v>21</v>
      </c>
      <c r="N248">
        <v>1801</v>
      </c>
      <c r="P248" t="s">
        <v>512</v>
      </c>
      <c r="Q248" t="s">
        <v>25</v>
      </c>
      <c r="R248" t="s">
        <v>59</v>
      </c>
      <c r="S248" t="s">
        <v>88</v>
      </c>
      <c r="T248">
        <v>2.6</v>
      </c>
      <c r="U248">
        <v>4</v>
      </c>
      <c r="V248" s="1">
        <v>43514</v>
      </c>
      <c r="W248">
        <v>4</v>
      </c>
      <c r="X248" t="str">
        <f>INDEX(Position!B:B,MATCH(Table1[[#This Row],[Position ID]],Position!A:A, 0 ))</f>
        <v>Production Technician I</v>
      </c>
      <c r="Y248" t="str">
        <f>INDEX(Department!B:B,MATCH(Table1[[#This Row],[Department ID]],Department!A:A,0))</f>
        <v>Production</v>
      </c>
      <c r="Z248" t="str">
        <f>INDEX(Manager!B:B,MATCH(Table1[[#This Row],[Manger ID]],Manager!A:A,0))</f>
        <v>Kelley Spirea</v>
      </c>
      <c r="AA248">
        <f ca="1">DATEDIF(Table1[[#This Row],[DOB]],TODAY(), "Y")</f>
        <v>55</v>
      </c>
      <c r="AB248" t="str">
        <f ca="1">IF(Table1[[#This Row],[ Age]]&lt;18,"Less than 18",IF(Table1[[#This Row],[ Age]]&lt;=29,"18-29",IF(Table1[[#This Row],[ Age]]&lt;=49,"30-49",IF(Table1[[#This Row],[ Age]]&lt;=59,"50-59","60 or more"))))</f>
        <v>50-59</v>
      </c>
      <c r="AC248" s="8">
        <f ca="1">IF(ISBLANK(Table1[[#This Row],[DateofTermination]]),DATEDIF(Table1[[#This Row],[DateofHire]],TODAY(), "M"),DATEDIF(Table1[[#This Row],[DateofHire]],Table1[[#This Row],[DateofTermination]],"M"))/12</f>
        <v>7.75</v>
      </c>
      <c r="AD248" t="str">
        <f>IF(Table1[[#This Row],[EmpSatisfaction]]=1,"Very Dissatisfied", IF(Table1[[#This Row],[EmpSatisfaction]] = 2, "Dissatisfied", IF(Table1[[#This Row],[EmpSatisfaction]]  = 3, "Neutral", IF(Table1[[#This Row],[EmpSatisfaction]] = 4, "Satisfied", IF(Table1[[#This Row],[EmpSatisfaction]]=5,"Very Satisfied", " ")))))</f>
        <v>Satisfied</v>
      </c>
      <c r="AE248">
        <f>YEAR(Table1[[#This Row],[DateofHire]])</f>
        <v>2016</v>
      </c>
      <c r="AF248" t="s">
        <v>25</v>
      </c>
    </row>
    <row r="249" spans="1:32" hidden="1" x14ac:dyDescent="0.3">
      <c r="A249" t="s">
        <v>374</v>
      </c>
      <c r="B249">
        <v>10260</v>
      </c>
      <c r="C249" t="s">
        <v>474</v>
      </c>
      <c r="D249" t="s">
        <v>489</v>
      </c>
      <c r="E249">
        <v>10026</v>
      </c>
      <c r="F249" s="1">
        <v>39818</v>
      </c>
      <c r="G249" s="7">
        <v>46428</v>
      </c>
      <c r="H249" t="s">
        <v>498</v>
      </c>
      <c r="I249" s="1">
        <v>27384</v>
      </c>
      <c r="J249" t="s">
        <v>22</v>
      </c>
      <c r="K249" t="s">
        <v>23</v>
      </c>
      <c r="L249" t="s">
        <v>24</v>
      </c>
      <c r="M249" t="s">
        <v>21</v>
      </c>
      <c r="N249">
        <v>2148</v>
      </c>
      <c r="O249" s="1">
        <v>43311</v>
      </c>
      <c r="P249" t="s">
        <v>522</v>
      </c>
      <c r="Q249" t="s">
        <v>32</v>
      </c>
      <c r="R249" t="s">
        <v>45</v>
      </c>
      <c r="S249" t="s">
        <v>36</v>
      </c>
      <c r="T249">
        <v>4.5999999999999996</v>
      </c>
      <c r="U249">
        <v>5</v>
      </c>
      <c r="V249" s="1">
        <v>43136</v>
      </c>
      <c r="W249">
        <v>7</v>
      </c>
      <c r="X249" t="str">
        <f>INDEX(Position!B:B,MATCH(Table1[[#This Row],[Position ID]],Position!A:A, 0 ))</f>
        <v>Production Technician I</v>
      </c>
      <c r="Y249" t="str">
        <f>INDEX(Department!B:B,MATCH(Table1[[#This Row],[Department ID]],Department!A:A,0))</f>
        <v>Production</v>
      </c>
      <c r="Z249" t="str">
        <f>INDEX(Manager!B:B,MATCH(Table1[[#This Row],[Manger ID]],Manager!A:A,0))</f>
        <v>Michael Albert</v>
      </c>
      <c r="AA249">
        <f ca="1">DATEDIF(Table1[[#This Row],[DOB]],TODAY(), "Y")</f>
        <v>49</v>
      </c>
      <c r="AB249" t="str">
        <f ca="1">IF(Table1[[#This Row],[ Age]]&lt;18,"Less than 18",IF(Table1[[#This Row],[ Age]]&lt;=29,"18-29",IF(Table1[[#This Row],[ Age]]&lt;=49,"30-49",IF(Table1[[#This Row],[ Age]]&lt;=59,"50-59","60 or more"))))</f>
        <v>30-49</v>
      </c>
      <c r="AC249" s="8">
        <f ca="1">IF(ISBLANK(Table1[[#This Row],[DateofTermination]]),DATEDIF(Table1[[#This Row],[DateofHire]],TODAY(), "M"),DATEDIF(Table1[[#This Row],[DateofHire]],Table1[[#This Row],[DateofTermination]],"M"))/12</f>
        <v>9.5</v>
      </c>
      <c r="AD249" t="str">
        <f>IF(Table1[[#This Row],[EmpSatisfaction]]=1,"Very Dissatisfied", IF(Table1[[#This Row],[EmpSatisfaction]] = 2, "Dissatisfied", IF(Table1[[#This Row],[EmpSatisfaction]]  = 3, "Neutral", IF(Table1[[#This Row],[EmpSatisfaction]] = 4, "Satisfied", IF(Table1[[#This Row],[EmpSatisfaction]]=5,"Very Satisfied", " ")))))</f>
        <v>Very Satisfied</v>
      </c>
      <c r="AE249">
        <f>YEAR(Table1[[#This Row],[DateofHire]])</f>
        <v>2009</v>
      </c>
      <c r="AF249" t="s">
        <v>535</v>
      </c>
    </row>
    <row r="250" spans="1:32" x14ac:dyDescent="0.3">
      <c r="A250" t="s">
        <v>375</v>
      </c>
      <c r="B250">
        <v>10233</v>
      </c>
      <c r="C250" t="s">
        <v>475</v>
      </c>
      <c r="D250" t="s">
        <v>489</v>
      </c>
      <c r="E250">
        <v>10265</v>
      </c>
      <c r="F250" s="1">
        <v>40420</v>
      </c>
      <c r="G250" s="7">
        <v>57975</v>
      </c>
      <c r="H250" t="s">
        <v>498</v>
      </c>
      <c r="I250" s="1">
        <v>31528</v>
      </c>
      <c r="J250" t="s">
        <v>31</v>
      </c>
      <c r="K250" t="s">
        <v>23</v>
      </c>
      <c r="L250" t="s">
        <v>24</v>
      </c>
      <c r="M250" t="s">
        <v>21</v>
      </c>
      <c r="N250">
        <v>2062</v>
      </c>
      <c r="P250" t="s">
        <v>512</v>
      </c>
      <c r="Q250" t="s">
        <v>25</v>
      </c>
      <c r="R250" t="s">
        <v>87</v>
      </c>
      <c r="S250" t="s">
        <v>36</v>
      </c>
      <c r="T250">
        <v>4.0999999999999996</v>
      </c>
      <c r="U250">
        <v>3</v>
      </c>
      <c r="V250" s="1">
        <v>43475</v>
      </c>
      <c r="W250">
        <v>13</v>
      </c>
      <c r="X250" t="str">
        <f>INDEX(Position!B:B,MATCH(Table1[[#This Row],[Position ID]],Position!A:A, 0 ))</f>
        <v>Production Technician II</v>
      </c>
      <c r="Y250" t="str">
        <f>INDEX(Department!B:B,MATCH(Table1[[#This Row],[Department ID]],Department!A:A,0))</f>
        <v>Production</v>
      </c>
      <c r="Z250" t="str">
        <f>INDEX(Manager!B:B,MATCH(Table1[[#This Row],[Manger ID]],Manager!A:A,0))</f>
        <v>Kelley Spirea</v>
      </c>
      <c r="AA250">
        <f ca="1">DATEDIF(Table1[[#This Row],[DOB]],TODAY(), "Y")</f>
        <v>37</v>
      </c>
      <c r="AB250" t="str">
        <f ca="1">IF(Table1[[#This Row],[ Age]]&lt;18,"Less than 18",IF(Table1[[#This Row],[ Age]]&lt;=29,"18-29",IF(Table1[[#This Row],[ Age]]&lt;=49,"30-49",IF(Table1[[#This Row],[ Age]]&lt;=59,"50-59","60 or more"))))</f>
        <v>30-49</v>
      </c>
      <c r="AC250" s="8">
        <f ca="1">IF(ISBLANK(Table1[[#This Row],[DateofTermination]]),DATEDIF(Table1[[#This Row],[DateofHire]],TODAY(), "M"),DATEDIF(Table1[[#This Row],[DateofHire]],Table1[[#This Row],[DateofTermination]],"M"))/12</f>
        <v>13.583333333333334</v>
      </c>
      <c r="AD250" t="str">
        <f>IF(Table1[[#This Row],[EmpSatisfaction]]=1,"Very Dissatisfied", IF(Table1[[#This Row],[EmpSatisfaction]] = 2, "Dissatisfied", IF(Table1[[#This Row],[EmpSatisfaction]]  = 3, "Neutral", IF(Table1[[#This Row],[EmpSatisfaction]] = 4, "Satisfied", IF(Table1[[#This Row],[EmpSatisfaction]]=5,"Very Satisfied", " ")))))</f>
        <v>Neutral</v>
      </c>
      <c r="AE250">
        <f>YEAR(Table1[[#This Row],[DateofHire]])</f>
        <v>2010</v>
      </c>
      <c r="AF250" t="s">
        <v>25</v>
      </c>
    </row>
    <row r="251" spans="1:32" hidden="1" x14ac:dyDescent="0.3">
      <c r="A251" t="s">
        <v>376</v>
      </c>
      <c r="B251">
        <v>10229</v>
      </c>
      <c r="C251" t="s">
        <v>459</v>
      </c>
      <c r="D251" t="s">
        <v>488</v>
      </c>
      <c r="E251">
        <v>10084</v>
      </c>
      <c r="F251" s="1">
        <v>42009</v>
      </c>
      <c r="G251" s="7">
        <v>88527</v>
      </c>
      <c r="H251" t="s">
        <v>498</v>
      </c>
      <c r="I251" s="1">
        <v>32128</v>
      </c>
      <c r="J251" t="s">
        <v>43</v>
      </c>
      <c r="K251" t="s">
        <v>23</v>
      </c>
      <c r="L251" t="s">
        <v>57</v>
      </c>
      <c r="M251" t="s">
        <v>21</v>
      </c>
      <c r="N251">
        <v>2452</v>
      </c>
      <c r="O251" s="1">
        <v>42308</v>
      </c>
      <c r="P251" t="s">
        <v>514</v>
      </c>
      <c r="Q251" t="s">
        <v>32</v>
      </c>
      <c r="R251" t="s">
        <v>27</v>
      </c>
      <c r="S251" t="s">
        <v>36</v>
      </c>
      <c r="T251">
        <v>4.2</v>
      </c>
      <c r="U251">
        <v>3</v>
      </c>
      <c r="V251" s="1">
        <v>42114</v>
      </c>
      <c r="W251">
        <v>2</v>
      </c>
      <c r="X251" t="str">
        <f>INDEX(Position!B:B,MATCH(Table1[[#This Row],[Position ID]],Position!A:A, 0 ))</f>
        <v xml:space="preserve">Data Analyst </v>
      </c>
      <c r="Y251" t="str">
        <f>INDEX(Department!B:B,MATCH(Table1[[#This Row],[Department ID]],Department!A:A,0))</f>
        <v>IT/IS</v>
      </c>
      <c r="Z251" t="str">
        <f>INDEX(Manager!B:B,MATCH(Table1[[#This Row],[Manger ID]],Manager!A:A,0))</f>
        <v>Simon Roup</v>
      </c>
      <c r="AA251">
        <f ca="1">DATEDIF(Table1[[#This Row],[DOB]],TODAY(), "Y")</f>
        <v>36</v>
      </c>
      <c r="AB251" t="str">
        <f ca="1">IF(Table1[[#This Row],[ Age]]&lt;18,"Less than 18",IF(Table1[[#This Row],[ Age]]&lt;=29,"18-29",IF(Table1[[#This Row],[ Age]]&lt;=49,"30-49",IF(Table1[[#This Row],[ Age]]&lt;=59,"50-59","60 or more"))))</f>
        <v>30-49</v>
      </c>
      <c r="AC251" s="8">
        <f ca="1">IF(ISBLANK(Table1[[#This Row],[DateofTermination]]),DATEDIF(Table1[[#This Row],[DateofHire]],TODAY(), "M"),DATEDIF(Table1[[#This Row],[DateofHire]],Table1[[#This Row],[DateofTermination]],"M"))/12</f>
        <v>0.75</v>
      </c>
      <c r="AD251" t="str">
        <f>IF(Table1[[#This Row],[EmpSatisfaction]]=1,"Very Dissatisfied", IF(Table1[[#This Row],[EmpSatisfaction]] = 2, "Dissatisfied", IF(Table1[[#This Row],[EmpSatisfaction]]  = 3, "Neutral", IF(Table1[[#This Row],[EmpSatisfaction]] = 4, "Satisfied", IF(Table1[[#This Row],[EmpSatisfaction]]=5,"Very Satisfied", " ")))))</f>
        <v>Neutral</v>
      </c>
      <c r="AE251">
        <f>YEAR(Table1[[#This Row],[DateofHire]])</f>
        <v>2015</v>
      </c>
      <c r="AF251" t="s">
        <v>535</v>
      </c>
    </row>
    <row r="252" spans="1:32" x14ac:dyDescent="0.3">
      <c r="A252" t="s">
        <v>378</v>
      </c>
      <c r="B252">
        <v>10169</v>
      </c>
      <c r="C252" t="s">
        <v>474</v>
      </c>
      <c r="D252" t="s">
        <v>489</v>
      </c>
      <c r="E252">
        <v>10088</v>
      </c>
      <c r="F252" s="1">
        <v>41911</v>
      </c>
      <c r="G252" s="7">
        <v>56147</v>
      </c>
      <c r="H252" t="s">
        <v>499</v>
      </c>
      <c r="I252" s="1">
        <v>32334</v>
      </c>
      <c r="J252" t="s">
        <v>31</v>
      </c>
      <c r="K252" t="s">
        <v>23</v>
      </c>
      <c r="L252" t="s">
        <v>57</v>
      </c>
      <c r="M252" t="s">
        <v>21</v>
      </c>
      <c r="N252">
        <v>2154</v>
      </c>
      <c r="P252" t="s">
        <v>512</v>
      </c>
      <c r="Q252" t="s">
        <v>25</v>
      </c>
      <c r="R252" t="s">
        <v>27</v>
      </c>
      <c r="S252" t="s">
        <v>36</v>
      </c>
      <c r="T252">
        <v>3.51</v>
      </c>
      <c r="U252">
        <v>3</v>
      </c>
      <c r="V252" s="1">
        <v>43514</v>
      </c>
      <c r="W252">
        <v>2</v>
      </c>
      <c r="X252" t="str">
        <f>INDEX(Position!B:B,MATCH(Table1[[#This Row],[Position ID]],Position!A:A, 0 ))</f>
        <v>Production Technician I</v>
      </c>
      <c r="Y252" t="str">
        <f>INDEX(Department!B:B,MATCH(Table1[[#This Row],[Department ID]],Department!A:A,0))</f>
        <v>Production</v>
      </c>
      <c r="Z252" t="str">
        <f>INDEX(Manager!B:B,MATCH(Table1[[#This Row],[Manger ID]],Manager!A:A,0))</f>
        <v>Elijiah Gray</v>
      </c>
      <c r="AA252">
        <f ca="1">DATEDIF(Table1[[#This Row],[DOB]],TODAY(), "Y")</f>
        <v>35</v>
      </c>
      <c r="AB252" t="str">
        <f ca="1">IF(Table1[[#This Row],[ Age]]&lt;18,"Less than 18",IF(Table1[[#This Row],[ Age]]&lt;=29,"18-29",IF(Table1[[#This Row],[ Age]]&lt;=49,"30-49",IF(Table1[[#This Row],[ Age]]&lt;=59,"50-59","60 or more"))))</f>
        <v>30-49</v>
      </c>
      <c r="AC252" s="8">
        <f ca="1">IF(ISBLANK(Table1[[#This Row],[DateofTermination]]),DATEDIF(Table1[[#This Row],[DateofHire]],TODAY(), "M"),DATEDIF(Table1[[#This Row],[DateofHire]],Table1[[#This Row],[DateofTermination]],"M"))/12</f>
        <v>9.5</v>
      </c>
      <c r="AD252" t="str">
        <f>IF(Table1[[#This Row],[EmpSatisfaction]]=1,"Very Dissatisfied", IF(Table1[[#This Row],[EmpSatisfaction]] = 2, "Dissatisfied", IF(Table1[[#This Row],[EmpSatisfaction]]  = 3, "Neutral", IF(Table1[[#This Row],[EmpSatisfaction]] = 4, "Satisfied", IF(Table1[[#This Row],[EmpSatisfaction]]=5,"Very Satisfied", " ")))))</f>
        <v>Neutral</v>
      </c>
      <c r="AE252">
        <f>YEAR(Table1[[#This Row],[DateofHire]])</f>
        <v>2014</v>
      </c>
      <c r="AF252" t="s">
        <v>25</v>
      </c>
    </row>
    <row r="253" spans="1:32" x14ac:dyDescent="0.3">
      <c r="A253" t="s">
        <v>379</v>
      </c>
      <c r="B253">
        <v>10071</v>
      </c>
      <c r="C253" t="s">
        <v>474</v>
      </c>
      <c r="D253" t="s">
        <v>489</v>
      </c>
      <c r="E253">
        <v>10069</v>
      </c>
      <c r="F253" s="1">
        <v>41547</v>
      </c>
      <c r="G253" s="7">
        <v>50923</v>
      </c>
      <c r="H253" t="s">
        <v>499</v>
      </c>
      <c r="I253" s="1">
        <v>27463</v>
      </c>
      <c r="J253" t="s">
        <v>22</v>
      </c>
      <c r="K253" t="s">
        <v>23</v>
      </c>
      <c r="L253" t="s">
        <v>82</v>
      </c>
      <c r="M253" t="s">
        <v>21</v>
      </c>
      <c r="N253">
        <v>2191</v>
      </c>
      <c r="P253" t="s">
        <v>512</v>
      </c>
      <c r="Q253" t="s">
        <v>25</v>
      </c>
      <c r="R253" t="s">
        <v>45</v>
      </c>
      <c r="S253" t="s">
        <v>36</v>
      </c>
      <c r="T253">
        <v>5</v>
      </c>
      <c r="U253">
        <v>5</v>
      </c>
      <c r="V253" s="1">
        <v>43502</v>
      </c>
      <c r="W253">
        <v>14</v>
      </c>
      <c r="X253" t="str">
        <f>INDEX(Position!B:B,MATCH(Table1[[#This Row],[Position ID]],Position!A:A, 0 ))</f>
        <v>Production Technician I</v>
      </c>
      <c r="Y253" t="str">
        <f>INDEX(Department!B:B,MATCH(Table1[[#This Row],[Department ID]],Department!A:A,0))</f>
        <v>Production</v>
      </c>
      <c r="Z253" t="str">
        <f>INDEX(Manager!B:B,MATCH(Table1[[#This Row],[Manger ID]],Manager!A:A,0))</f>
        <v>Webster Butler</v>
      </c>
      <c r="AA253">
        <f ca="1">DATEDIF(Table1[[#This Row],[DOB]],TODAY(), "Y")</f>
        <v>49</v>
      </c>
      <c r="AB253" t="str">
        <f ca="1">IF(Table1[[#This Row],[ Age]]&lt;18,"Less than 18",IF(Table1[[#This Row],[ Age]]&lt;=29,"18-29",IF(Table1[[#This Row],[ Age]]&lt;=49,"30-49",IF(Table1[[#This Row],[ Age]]&lt;=59,"50-59","60 or more"))))</f>
        <v>30-49</v>
      </c>
      <c r="AC253" s="8">
        <f ca="1">IF(ISBLANK(Table1[[#This Row],[DateofTermination]]),DATEDIF(Table1[[#This Row],[DateofHire]],TODAY(), "M"),DATEDIF(Table1[[#This Row],[DateofHire]],Table1[[#This Row],[DateofTermination]],"M"))/12</f>
        <v>10.5</v>
      </c>
      <c r="AD253" t="str">
        <f>IF(Table1[[#This Row],[EmpSatisfaction]]=1,"Very Dissatisfied", IF(Table1[[#This Row],[EmpSatisfaction]] = 2, "Dissatisfied", IF(Table1[[#This Row],[EmpSatisfaction]]  = 3, "Neutral", IF(Table1[[#This Row],[EmpSatisfaction]] = 4, "Satisfied", IF(Table1[[#This Row],[EmpSatisfaction]]=5,"Very Satisfied", " ")))))</f>
        <v>Very Satisfied</v>
      </c>
      <c r="AE253">
        <f>YEAR(Table1[[#This Row],[DateofHire]])</f>
        <v>2013</v>
      </c>
      <c r="AF253" t="s">
        <v>25</v>
      </c>
    </row>
    <row r="254" spans="1:32" x14ac:dyDescent="0.3">
      <c r="A254" t="s">
        <v>380</v>
      </c>
      <c r="B254">
        <v>10179</v>
      </c>
      <c r="C254" t="s">
        <v>470</v>
      </c>
      <c r="D254" t="s">
        <v>488</v>
      </c>
      <c r="E254">
        <v>10250</v>
      </c>
      <c r="F254" s="1">
        <v>41912</v>
      </c>
      <c r="G254" s="7">
        <v>50750</v>
      </c>
      <c r="H254" t="s">
        <v>499</v>
      </c>
      <c r="I254" s="1">
        <v>29690</v>
      </c>
      <c r="J254" t="s">
        <v>31</v>
      </c>
      <c r="K254" t="s">
        <v>23</v>
      </c>
      <c r="L254" t="s">
        <v>24</v>
      </c>
      <c r="M254" t="s">
        <v>21</v>
      </c>
      <c r="N254">
        <v>1773</v>
      </c>
      <c r="P254" t="s">
        <v>512</v>
      </c>
      <c r="Q254" t="s">
        <v>25</v>
      </c>
      <c r="R254" t="s">
        <v>27</v>
      </c>
      <c r="S254" t="s">
        <v>36</v>
      </c>
      <c r="T254">
        <v>3.31</v>
      </c>
      <c r="U254">
        <v>3</v>
      </c>
      <c r="V254" s="1">
        <v>43472</v>
      </c>
      <c r="W254">
        <v>7</v>
      </c>
      <c r="X254" t="str">
        <f>INDEX(Position!B:B,MATCH(Table1[[#This Row],[Position ID]],Position!A:A, 0 ))</f>
        <v>Network Engineer</v>
      </c>
      <c r="Y254" t="str">
        <f>INDEX(Department!B:B,MATCH(Table1[[#This Row],[Department ID]],Department!A:A,0))</f>
        <v>IT/IS</v>
      </c>
      <c r="Z254" t="str">
        <f>INDEX(Manager!B:B,MATCH(Table1[[#This Row],[Manger ID]],Manager!A:A,0))</f>
        <v>Peter Monroe</v>
      </c>
      <c r="AA254">
        <f ca="1">DATEDIF(Table1[[#This Row],[DOB]],TODAY(), "Y")</f>
        <v>42</v>
      </c>
      <c r="AB254" t="str">
        <f ca="1">IF(Table1[[#This Row],[ Age]]&lt;18,"Less than 18",IF(Table1[[#This Row],[ Age]]&lt;=29,"18-29",IF(Table1[[#This Row],[ Age]]&lt;=49,"30-49",IF(Table1[[#This Row],[ Age]]&lt;=59,"50-59","60 or more"))))</f>
        <v>30-49</v>
      </c>
      <c r="AC254" s="8">
        <f ca="1">IF(ISBLANK(Table1[[#This Row],[DateofTermination]]),DATEDIF(Table1[[#This Row],[DateofHire]],TODAY(), "M"),DATEDIF(Table1[[#This Row],[DateofHire]],Table1[[#This Row],[DateofTermination]],"M"))/12</f>
        <v>9.5</v>
      </c>
      <c r="AD254" t="str">
        <f>IF(Table1[[#This Row],[EmpSatisfaction]]=1,"Very Dissatisfied", IF(Table1[[#This Row],[EmpSatisfaction]] = 2, "Dissatisfied", IF(Table1[[#This Row],[EmpSatisfaction]]  = 3, "Neutral", IF(Table1[[#This Row],[EmpSatisfaction]] = 4, "Satisfied", IF(Table1[[#This Row],[EmpSatisfaction]]=5,"Very Satisfied", " ")))))</f>
        <v>Neutral</v>
      </c>
      <c r="AE254">
        <f>YEAR(Table1[[#This Row],[DateofHire]])</f>
        <v>2014</v>
      </c>
      <c r="AF254" t="s">
        <v>25</v>
      </c>
    </row>
    <row r="255" spans="1:32" x14ac:dyDescent="0.3">
      <c r="A255" t="s">
        <v>381</v>
      </c>
      <c r="B255">
        <v>10091</v>
      </c>
      <c r="C255" t="s">
        <v>474</v>
      </c>
      <c r="D255" t="s">
        <v>489</v>
      </c>
      <c r="E255">
        <v>10002</v>
      </c>
      <c r="F255" s="1">
        <v>41505</v>
      </c>
      <c r="G255" s="7">
        <v>52087</v>
      </c>
      <c r="H255" t="s">
        <v>499</v>
      </c>
      <c r="I255" s="1">
        <v>31283</v>
      </c>
      <c r="J255" t="s">
        <v>31</v>
      </c>
      <c r="K255" t="s">
        <v>23</v>
      </c>
      <c r="L255" t="s">
        <v>24</v>
      </c>
      <c r="M255" t="s">
        <v>21</v>
      </c>
      <c r="N255">
        <v>2149</v>
      </c>
      <c r="P255" t="s">
        <v>512</v>
      </c>
      <c r="Q255" t="s">
        <v>25</v>
      </c>
      <c r="R255" t="s">
        <v>27</v>
      </c>
      <c r="S255" t="s">
        <v>36</v>
      </c>
      <c r="T255">
        <v>4.8099999999999996</v>
      </c>
      <c r="U255">
        <v>4</v>
      </c>
      <c r="V255" s="1">
        <v>43511</v>
      </c>
      <c r="W255">
        <v>15</v>
      </c>
      <c r="X255" t="str">
        <f>INDEX(Position!B:B,MATCH(Table1[[#This Row],[Position ID]],Position!A:A, 0 ))</f>
        <v>Production Technician I</v>
      </c>
      <c r="Y255" t="str">
        <f>INDEX(Department!B:B,MATCH(Table1[[#This Row],[Department ID]],Department!A:A,0))</f>
        <v>Production</v>
      </c>
      <c r="Z255" t="str">
        <f>INDEX(Manager!B:B,MATCH(Table1[[#This Row],[Manger ID]],Manager!A:A,0))</f>
        <v>Amy Dunn</v>
      </c>
      <c r="AA255">
        <f ca="1">DATEDIF(Table1[[#This Row],[DOB]],TODAY(), "Y")</f>
        <v>38</v>
      </c>
      <c r="AB255" t="str">
        <f ca="1">IF(Table1[[#This Row],[ Age]]&lt;18,"Less than 18",IF(Table1[[#This Row],[ Age]]&lt;=29,"18-29",IF(Table1[[#This Row],[ Age]]&lt;=49,"30-49",IF(Table1[[#This Row],[ Age]]&lt;=59,"50-59","60 or more"))))</f>
        <v>30-49</v>
      </c>
      <c r="AC255" s="8">
        <f ca="1">IF(ISBLANK(Table1[[#This Row],[DateofTermination]]),DATEDIF(Table1[[#This Row],[DateofHire]],TODAY(), "M"),DATEDIF(Table1[[#This Row],[DateofHire]],Table1[[#This Row],[DateofTermination]],"M"))/12</f>
        <v>10.583333333333334</v>
      </c>
      <c r="AD255" t="str">
        <f>IF(Table1[[#This Row],[EmpSatisfaction]]=1,"Very Dissatisfied", IF(Table1[[#This Row],[EmpSatisfaction]] = 2, "Dissatisfied", IF(Table1[[#This Row],[EmpSatisfaction]]  = 3, "Neutral", IF(Table1[[#This Row],[EmpSatisfaction]] = 4, "Satisfied", IF(Table1[[#This Row],[EmpSatisfaction]]=5,"Very Satisfied", " ")))))</f>
        <v>Satisfied</v>
      </c>
      <c r="AE255">
        <f>YEAR(Table1[[#This Row],[DateofHire]])</f>
        <v>2013</v>
      </c>
      <c r="AF255" t="s">
        <v>25</v>
      </c>
    </row>
    <row r="256" spans="1:32" x14ac:dyDescent="0.3">
      <c r="A256" t="s">
        <v>382</v>
      </c>
      <c r="B256">
        <v>10178</v>
      </c>
      <c r="C256" t="s">
        <v>458</v>
      </c>
      <c r="D256" t="s">
        <v>488</v>
      </c>
      <c r="E256">
        <v>10084</v>
      </c>
      <c r="F256" s="1">
        <v>42009</v>
      </c>
      <c r="G256" s="7">
        <v>87826</v>
      </c>
      <c r="H256" t="s">
        <v>498</v>
      </c>
      <c r="I256" s="1">
        <v>25607</v>
      </c>
      <c r="J256" t="s">
        <v>31</v>
      </c>
      <c r="K256" t="s">
        <v>23</v>
      </c>
      <c r="L256" t="s">
        <v>24</v>
      </c>
      <c r="M256" t="s">
        <v>21</v>
      </c>
      <c r="N256">
        <v>2110</v>
      </c>
      <c r="P256" t="s">
        <v>512</v>
      </c>
      <c r="Q256" t="s">
        <v>25</v>
      </c>
      <c r="R256" t="s">
        <v>55</v>
      </c>
      <c r="S256" t="s">
        <v>36</v>
      </c>
      <c r="T256">
        <v>3.32</v>
      </c>
      <c r="U256">
        <v>3</v>
      </c>
      <c r="V256" s="1">
        <v>43479</v>
      </c>
      <c r="W256">
        <v>16</v>
      </c>
      <c r="X256" t="str">
        <f>INDEX(Position!B:B,MATCH(Table1[[#This Row],[Position ID]],Position!A:A, 0 ))</f>
        <v>Data Analyst</v>
      </c>
      <c r="Y256" t="str">
        <f>INDEX(Department!B:B,MATCH(Table1[[#This Row],[Department ID]],Department!A:A,0))</f>
        <v>IT/IS</v>
      </c>
      <c r="Z256" t="str">
        <f>INDEX(Manager!B:B,MATCH(Table1[[#This Row],[Manger ID]],Manager!A:A,0))</f>
        <v>Simon Roup</v>
      </c>
      <c r="AA256">
        <f ca="1">DATEDIF(Table1[[#This Row],[DOB]],TODAY(), "Y")</f>
        <v>54</v>
      </c>
      <c r="AB256" t="str">
        <f ca="1">IF(Table1[[#This Row],[ Age]]&lt;18,"Less than 18",IF(Table1[[#This Row],[ Age]]&lt;=29,"18-29",IF(Table1[[#This Row],[ Age]]&lt;=49,"30-49",IF(Table1[[#This Row],[ Age]]&lt;=59,"50-59","60 or more"))))</f>
        <v>50-59</v>
      </c>
      <c r="AC256" s="8">
        <f ca="1">IF(ISBLANK(Table1[[#This Row],[DateofTermination]]),DATEDIF(Table1[[#This Row],[DateofHire]],TODAY(), "M"),DATEDIF(Table1[[#This Row],[DateofHire]],Table1[[#This Row],[DateofTermination]],"M"))/12</f>
        <v>9.25</v>
      </c>
      <c r="AD256" t="str">
        <f>IF(Table1[[#This Row],[EmpSatisfaction]]=1,"Very Dissatisfied", IF(Table1[[#This Row],[EmpSatisfaction]] = 2, "Dissatisfied", IF(Table1[[#This Row],[EmpSatisfaction]]  = 3, "Neutral", IF(Table1[[#This Row],[EmpSatisfaction]] = 4, "Satisfied", IF(Table1[[#This Row],[EmpSatisfaction]]=5,"Very Satisfied", " ")))))</f>
        <v>Neutral</v>
      </c>
      <c r="AE256">
        <f>YEAR(Table1[[#This Row],[DateofHire]])</f>
        <v>2015</v>
      </c>
      <c r="AF256" t="s">
        <v>25</v>
      </c>
    </row>
    <row r="257" spans="1:32" x14ac:dyDescent="0.3">
      <c r="A257" t="s">
        <v>383</v>
      </c>
      <c r="B257">
        <v>10039</v>
      </c>
      <c r="C257" t="s">
        <v>453</v>
      </c>
      <c r="D257" t="s">
        <v>486</v>
      </c>
      <c r="E257">
        <v>10081</v>
      </c>
      <c r="F257" s="1">
        <v>42125</v>
      </c>
      <c r="G257" s="7">
        <v>51920</v>
      </c>
      <c r="H257" t="s">
        <v>499</v>
      </c>
      <c r="I257" s="1">
        <v>32282</v>
      </c>
      <c r="J257" t="s">
        <v>22</v>
      </c>
      <c r="K257" t="s">
        <v>23</v>
      </c>
      <c r="L257" t="s">
        <v>24</v>
      </c>
      <c r="M257" t="s">
        <v>21</v>
      </c>
      <c r="N257">
        <v>2330</v>
      </c>
      <c r="P257" t="s">
        <v>512</v>
      </c>
      <c r="Q257" t="s">
        <v>25</v>
      </c>
      <c r="R257" t="s">
        <v>167</v>
      </c>
      <c r="S257" t="s">
        <v>36</v>
      </c>
      <c r="T257">
        <v>5</v>
      </c>
      <c r="U257">
        <v>3</v>
      </c>
      <c r="V257" s="1">
        <v>43480</v>
      </c>
      <c r="W257">
        <v>2</v>
      </c>
      <c r="X257" t="str">
        <f>INDEX(Position!B:B,MATCH(Table1[[#This Row],[Position ID]],Position!A:A, 0 ))</f>
        <v>Administrative Assistant</v>
      </c>
      <c r="Y257" t="str">
        <f>INDEX(Department!B:B,MATCH(Table1[[#This Row],[Department ID]],Department!A:A,0))</f>
        <v>Admin Offices</v>
      </c>
      <c r="Z257" t="str">
        <f>INDEX(Manager!B:B,MATCH(Table1[[#This Row],[Manger ID]],Manager!A:A,0))</f>
        <v>Brandon R. LeBlanc</v>
      </c>
      <c r="AA257">
        <f ca="1">DATEDIF(Table1[[#This Row],[DOB]],TODAY(), "Y")</f>
        <v>35</v>
      </c>
      <c r="AB257" t="str">
        <f ca="1">IF(Table1[[#This Row],[ Age]]&lt;18,"Less than 18",IF(Table1[[#This Row],[ Age]]&lt;=29,"18-29",IF(Table1[[#This Row],[ Age]]&lt;=49,"30-49",IF(Table1[[#This Row],[ Age]]&lt;=59,"50-59","60 or more"))))</f>
        <v>30-49</v>
      </c>
      <c r="AC257" s="8">
        <f ca="1">IF(ISBLANK(Table1[[#This Row],[DateofTermination]]),DATEDIF(Table1[[#This Row],[DateofHire]],TODAY(), "M"),DATEDIF(Table1[[#This Row],[DateofHire]],Table1[[#This Row],[DateofTermination]],"M"))/12</f>
        <v>8.9166666666666661</v>
      </c>
      <c r="AD257" t="str">
        <f>IF(Table1[[#This Row],[EmpSatisfaction]]=1,"Very Dissatisfied", IF(Table1[[#This Row],[EmpSatisfaction]] = 2, "Dissatisfied", IF(Table1[[#This Row],[EmpSatisfaction]]  = 3, "Neutral", IF(Table1[[#This Row],[EmpSatisfaction]] = 4, "Satisfied", IF(Table1[[#This Row],[EmpSatisfaction]]=5,"Very Satisfied", " ")))))</f>
        <v>Neutral</v>
      </c>
      <c r="AE257">
        <f>YEAR(Table1[[#This Row],[DateofHire]])</f>
        <v>2015</v>
      </c>
      <c r="AF257" t="s">
        <v>25</v>
      </c>
    </row>
    <row r="258" spans="1:32" hidden="1" x14ac:dyDescent="0.3">
      <c r="A258" t="s">
        <v>384</v>
      </c>
      <c r="B258">
        <v>10095</v>
      </c>
      <c r="C258" t="s">
        <v>475</v>
      </c>
      <c r="D258" t="s">
        <v>489</v>
      </c>
      <c r="E258">
        <v>10026</v>
      </c>
      <c r="F258" s="1">
        <v>40112</v>
      </c>
      <c r="G258" s="7">
        <v>63878</v>
      </c>
      <c r="H258" t="s">
        <v>499</v>
      </c>
      <c r="I258" s="1">
        <v>32106</v>
      </c>
      <c r="J258" t="s">
        <v>22</v>
      </c>
      <c r="K258" t="s">
        <v>23</v>
      </c>
      <c r="L258" t="s">
        <v>24</v>
      </c>
      <c r="M258" t="s">
        <v>21</v>
      </c>
      <c r="N258">
        <v>1851</v>
      </c>
      <c r="O258" s="1">
        <v>42102</v>
      </c>
      <c r="P258" t="s">
        <v>527</v>
      </c>
      <c r="Q258" t="s">
        <v>32</v>
      </c>
      <c r="R258" t="s">
        <v>87</v>
      </c>
      <c r="S258" t="s">
        <v>36</v>
      </c>
      <c r="T258">
        <v>4.68</v>
      </c>
      <c r="U258">
        <v>4</v>
      </c>
      <c r="V258" s="1">
        <v>42096</v>
      </c>
      <c r="W258">
        <v>20</v>
      </c>
      <c r="X258" t="str">
        <f>INDEX(Position!B:B,MATCH(Table1[[#This Row],[Position ID]],Position!A:A, 0 ))</f>
        <v>Production Technician II</v>
      </c>
      <c r="Y258" t="str">
        <f>INDEX(Department!B:B,MATCH(Table1[[#This Row],[Department ID]],Department!A:A,0))</f>
        <v>Production</v>
      </c>
      <c r="Z258" t="str">
        <f>INDEX(Manager!B:B,MATCH(Table1[[#This Row],[Manger ID]],Manager!A:A,0))</f>
        <v>Michael Albert</v>
      </c>
      <c r="AA258">
        <f ca="1">DATEDIF(Table1[[#This Row],[DOB]],TODAY(), "Y")</f>
        <v>36</v>
      </c>
      <c r="AB258" t="str">
        <f ca="1">IF(Table1[[#This Row],[ Age]]&lt;18,"Less than 18",IF(Table1[[#This Row],[ Age]]&lt;=29,"18-29",IF(Table1[[#This Row],[ Age]]&lt;=49,"30-49",IF(Table1[[#This Row],[ Age]]&lt;=59,"50-59","60 or more"))))</f>
        <v>30-49</v>
      </c>
      <c r="AC258" s="8">
        <f ca="1">IF(ISBLANK(Table1[[#This Row],[DateofTermination]]),DATEDIF(Table1[[#This Row],[DateofHire]],TODAY(), "M"),DATEDIF(Table1[[#This Row],[DateofHire]],Table1[[#This Row],[DateofTermination]],"M"))/12</f>
        <v>5.416666666666667</v>
      </c>
      <c r="AD258" t="str">
        <f>IF(Table1[[#This Row],[EmpSatisfaction]]=1,"Very Dissatisfied", IF(Table1[[#This Row],[EmpSatisfaction]] = 2, "Dissatisfied", IF(Table1[[#This Row],[EmpSatisfaction]]  = 3, "Neutral", IF(Table1[[#This Row],[EmpSatisfaction]] = 4, "Satisfied", IF(Table1[[#This Row],[EmpSatisfaction]]=5,"Very Satisfied", " ")))))</f>
        <v>Satisfied</v>
      </c>
      <c r="AE258">
        <f>YEAR(Table1[[#This Row],[DateofHire]])</f>
        <v>2009</v>
      </c>
      <c r="AF258" t="s">
        <v>535</v>
      </c>
    </row>
    <row r="259" spans="1:32" x14ac:dyDescent="0.3">
      <c r="A259" t="s">
        <v>385</v>
      </c>
      <c r="B259">
        <v>10027</v>
      </c>
      <c r="C259" t="s">
        <v>475</v>
      </c>
      <c r="D259" t="s">
        <v>489</v>
      </c>
      <c r="E259">
        <v>10088</v>
      </c>
      <c r="F259" s="1">
        <v>41911</v>
      </c>
      <c r="G259" s="7">
        <v>60656</v>
      </c>
      <c r="H259" t="s">
        <v>498</v>
      </c>
      <c r="I259" s="1">
        <v>23314</v>
      </c>
      <c r="J259" t="s">
        <v>22</v>
      </c>
      <c r="K259" t="s">
        <v>23</v>
      </c>
      <c r="L259" t="s">
        <v>24</v>
      </c>
      <c r="M259" t="s">
        <v>21</v>
      </c>
      <c r="N259">
        <v>2045</v>
      </c>
      <c r="P259" t="s">
        <v>512</v>
      </c>
      <c r="Q259" t="s">
        <v>25</v>
      </c>
      <c r="R259" t="s">
        <v>35</v>
      </c>
      <c r="S259" t="s">
        <v>28</v>
      </c>
      <c r="T259">
        <v>4.3</v>
      </c>
      <c r="U259">
        <v>3</v>
      </c>
      <c r="V259" s="1">
        <v>43493</v>
      </c>
      <c r="W259">
        <v>4</v>
      </c>
      <c r="X259" t="str">
        <f>INDEX(Position!B:B,MATCH(Table1[[#This Row],[Position ID]],Position!A:A, 0 ))</f>
        <v>Production Technician II</v>
      </c>
      <c r="Y259" t="str">
        <f>INDEX(Department!B:B,MATCH(Table1[[#This Row],[Department ID]],Department!A:A,0))</f>
        <v>Production</v>
      </c>
      <c r="Z259" t="str">
        <f>INDEX(Manager!B:B,MATCH(Table1[[#This Row],[Manger ID]],Manager!A:A,0))</f>
        <v>Elijiah Gray</v>
      </c>
      <c r="AA259">
        <f ca="1">DATEDIF(Table1[[#This Row],[DOB]],TODAY(), "Y")</f>
        <v>60</v>
      </c>
      <c r="AB259" t="str">
        <f ca="1">IF(Table1[[#This Row],[ Age]]&lt;18,"Less than 18",IF(Table1[[#This Row],[ Age]]&lt;=29,"18-29",IF(Table1[[#This Row],[ Age]]&lt;=49,"30-49",IF(Table1[[#This Row],[ Age]]&lt;=59,"50-59","60 or more"))))</f>
        <v>60 or more</v>
      </c>
      <c r="AC259" s="8">
        <f ca="1">IF(ISBLANK(Table1[[#This Row],[DateofTermination]]),DATEDIF(Table1[[#This Row],[DateofHire]],TODAY(), "M"),DATEDIF(Table1[[#This Row],[DateofHire]],Table1[[#This Row],[DateofTermination]],"M"))/12</f>
        <v>9.5</v>
      </c>
      <c r="AD259" t="str">
        <f>IF(Table1[[#This Row],[EmpSatisfaction]]=1,"Very Dissatisfied", IF(Table1[[#This Row],[EmpSatisfaction]] = 2, "Dissatisfied", IF(Table1[[#This Row],[EmpSatisfaction]]  = 3, "Neutral", IF(Table1[[#This Row],[EmpSatisfaction]] = 4, "Satisfied", IF(Table1[[#This Row],[EmpSatisfaction]]=5,"Very Satisfied", " ")))))</f>
        <v>Neutral</v>
      </c>
      <c r="AE259">
        <f>YEAR(Table1[[#This Row],[DateofHire]])</f>
        <v>2014</v>
      </c>
      <c r="AF259" t="s">
        <v>25</v>
      </c>
    </row>
    <row r="260" spans="1:32" x14ac:dyDescent="0.3">
      <c r="A260" t="s">
        <v>386</v>
      </c>
      <c r="B260">
        <v>10291</v>
      </c>
      <c r="C260" t="s">
        <v>476</v>
      </c>
      <c r="D260" t="s">
        <v>490</v>
      </c>
      <c r="E260">
        <v>10099</v>
      </c>
      <c r="F260" s="1">
        <v>41777</v>
      </c>
      <c r="G260" s="7">
        <v>72992</v>
      </c>
      <c r="H260" t="s">
        <v>498</v>
      </c>
      <c r="I260" s="1">
        <v>30910</v>
      </c>
      <c r="J260" t="s">
        <v>43</v>
      </c>
      <c r="K260" t="s">
        <v>23</v>
      </c>
      <c r="L260" t="s">
        <v>57</v>
      </c>
      <c r="M260" t="s">
        <v>21</v>
      </c>
      <c r="N260">
        <v>1886</v>
      </c>
      <c r="P260" t="s">
        <v>512</v>
      </c>
      <c r="Q260" t="s">
        <v>25</v>
      </c>
      <c r="R260" t="s">
        <v>59</v>
      </c>
      <c r="S260" t="s">
        <v>88</v>
      </c>
      <c r="T260">
        <v>2.4</v>
      </c>
      <c r="U260">
        <v>4</v>
      </c>
      <c r="V260" s="1">
        <v>43481</v>
      </c>
      <c r="W260">
        <v>16</v>
      </c>
      <c r="X260" t="str">
        <f>INDEX(Position!B:B,MATCH(Table1[[#This Row],[Position ID]],Position!A:A, 0 ))</f>
        <v>Sales Manager</v>
      </c>
      <c r="Y260" t="str">
        <f>INDEX(Department!B:B,MATCH(Table1[[#This Row],[Department ID]],Department!A:A,0))</f>
        <v>Sales</v>
      </c>
      <c r="Z260" t="str">
        <f>INDEX(Manager!B:B,MATCH(Table1[[#This Row],[Manger ID]],Manager!A:A,0))</f>
        <v>Debra Houlihan</v>
      </c>
      <c r="AA260">
        <f ca="1">DATEDIF(Table1[[#This Row],[DOB]],TODAY(), "Y")</f>
        <v>39</v>
      </c>
      <c r="AB260" t="str">
        <f ca="1">IF(Table1[[#This Row],[ Age]]&lt;18,"Less than 18",IF(Table1[[#This Row],[ Age]]&lt;=29,"18-29",IF(Table1[[#This Row],[ Age]]&lt;=49,"30-49",IF(Table1[[#This Row],[ Age]]&lt;=59,"50-59","60 or more"))))</f>
        <v>30-49</v>
      </c>
      <c r="AC260" s="8">
        <f ca="1">IF(ISBLANK(Table1[[#This Row],[DateofTermination]]),DATEDIF(Table1[[#This Row],[DateofHire]],TODAY(), "M"),DATEDIF(Table1[[#This Row],[DateofHire]],Table1[[#This Row],[DateofTermination]],"M"))/12</f>
        <v>9.8333333333333339</v>
      </c>
      <c r="AD260" t="str">
        <f>IF(Table1[[#This Row],[EmpSatisfaction]]=1,"Very Dissatisfied", IF(Table1[[#This Row],[EmpSatisfaction]] = 2, "Dissatisfied", IF(Table1[[#This Row],[EmpSatisfaction]]  = 3, "Neutral", IF(Table1[[#This Row],[EmpSatisfaction]] = 4, "Satisfied", IF(Table1[[#This Row],[EmpSatisfaction]]=5,"Very Satisfied", " ")))))</f>
        <v>Satisfied</v>
      </c>
      <c r="AE260">
        <f>YEAR(Table1[[#This Row],[DateofHire]])</f>
        <v>2014</v>
      </c>
      <c r="AF260" t="s">
        <v>25</v>
      </c>
    </row>
    <row r="261" spans="1:32" hidden="1" x14ac:dyDescent="0.3">
      <c r="A261" t="s">
        <v>387</v>
      </c>
      <c r="B261">
        <v>10153</v>
      </c>
      <c r="C261" t="s">
        <v>453</v>
      </c>
      <c r="D261" t="s">
        <v>486</v>
      </c>
      <c r="E261">
        <v>10081</v>
      </c>
      <c r="F261" s="1">
        <v>40812</v>
      </c>
      <c r="G261" s="7">
        <v>55000</v>
      </c>
      <c r="H261" t="s">
        <v>499</v>
      </c>
      <c r="I261" s="1">
        <v>31942</v>
      </c>
      <c r="J261" t="s">
        <v>31</v>
      </c>
      <c r="K261" t="s">
        <v>23</v>
      </c>
      <c r="L261" t="s">
        <v>57</v>
      </c>
      <c r="M261" t="s">
        <v>21</v>
      </c>
      <c r="N261">
        <v>1844</v>
      </c>
      <c r="O261" s="1">
        <v>41542</v>
      </c>
      <c r="P261" t="s">
        <v>513</v>
      </c>
      <c r="Q261" t="s">
        <v>32</v>
      </c>
      <c r="R261" t="s">
        <v>59</v>
      </c>
      <c r="S261" t="s">
        <v>36</v>
      </c>
      <c r="T261">
        <v>3.8</v>
      </c>
      <c r="U261">
        <v>4</v>
      </c>
      <c r="V261" s="1">
        <v>41501</v>
      </c>
      <c r="W261">
        <v>17</v>
      </c>
      <c r="X261" t="str">
        <f>INDEX(Position!B:B,MATCH(Table1[[#This Row],[Position ID]],Position!A:A, 0 ))</f>
        <v>Administrative Assistant</v>
      </c>
      <c r="Y261" t="str">
        <f>INDEX(Department!B:B,MATCH(Table1[[#This Row],[Department ID]],Department!A:A,0))</f>
        <v>Admin Offices</v>
      </c>
      <c r="Z261" t="str">
        <f>INDEX(Manager!B:B,MATCH(Table1[[#This Row],[Manger ID]],Manager!A:A,0))</f>
        <v>Brandon R. LeBlanc</v>
      </c>
      <c r="AA261">
        <f ca="1">DATEDIF(Table1[[#This Row],[DOB]],TODAY(), "Y")</f>
        <v>36</v>
      </c>
      <c r="AB261" t="str">
        <f ca="1">IF(Table1[[#This Row],[ Age]]&lt;18,"Less than 18",IF(Table1[[#This Row],[ Age]]&lt;=29,"18-29",IF(Table1[[#This Row],[ Age]]&lt;=49,"30-49",IF(Table1[[#This Row],[ Age]]&lt;=59,"50-59","60 or more"))))</f>
        <v>30-49</v>
      </c>
      <c r="AC261" s="8">
        <f ca="1">IF(ISBLANK(Table1[[#This Row],[DateofTermination]]),DATEDIF(Table1[[#This Row],[DateofHire]],TODAY(), "M"),DATEDIF(Table1[[#This Row],[DateofHire]],Table1[[#This Row],[DateofTermination]],"M"))/12</f>
        <v>1.9166666666666667</v>
      </c>
      <c r="AD261" t="str">
        <f>IF(Table1[[#This Row],[EmpSatisfaction]]=1,"Very Dissatisfied", IF(Table1[[#This Row],[EmpSatisfaction]] = 2, "Dissatisfied", IF(Table1[[#This Row],[EmpSatisfaction]]  = 3, "Neutral", IF(Table1[[#This Row],[EmpSatisfaction]] = 4, "Satisfied", IF(Table1[[#This Row],[EmpSatisfaction]]=5,"Very Satisfied", " ")))))</f>
        <v>Satisfied</v>
      </c>
      <c r="AE261">
        <f>YEAR(Table1[[#This Row],[DateofHire]])</f>
        <v>2011</v>
      </c>
      <c r="AF261" t="s">
        <v>535</v>
      </c>
    </row>
    <row r="262" spans="1:32" x14ac:dyDescent="0.3">
      <c r="A262" t="s">
        <v>388</v>
      </c>
      <c r="B262">
        <v>10157</v>
      </c>
      <c r="C262" t="s">
        <v>474</v>
      </c>
      <c r="D262" t="s">
        <v>489</v>
      </c>
      <c r="E262">
        <v>10062</v>
      </c>
      <c r="F262" s="1">
        <v>41589</v>
      </c>
      <c r="G262" s="7">
        <v>58939</v>
      </c>
      <c r="H262" t="s">
        <v>499</v>
      </c>
      <c r="I262" s="1">
        <v>23775</v>
      </c>
      <c r="J262" t="s">
        <v>22</v>
      </c>
      <c r="K262" t="s">
        <v>23</v>
      </c>
      <c r="L262" t="s">
        <v>24</v>
      </c>
      <c r="M262" t="s">
        <v>21</v>
      </c>
      <c r="N262">
        <v>2130</v>
      </c>
      <c r="P262" t="s">
        <v>512</v>
      </c>
      <c r="Q262" t="s">
        <v>25</v>
      </c>
      <c r="R262" t="s">
        <v>55</v>
      </c>
      <c r="S262" t="s">
        <v>36</v>
      </c>
      <c r="T262">
        <v>3.73</v>
      </c>
      <c r="U262">
        <v>3</v>
      </c>
      <c r="V262" s="1">
        <v>43489</v>
      </c>
      <c r="W262">
        <v>16</v>
      </c>
      <c r="X262" t="str">
        <f>INDEX(Position!B:B,MATCH(Table1[[#This Row],[Position ID]],Position!A:A, 0 ))</f>
        <v>Production Technician I</v>
      </c>
      <c r="Y262" t="str">
        <f>INDEX(Department!B:B,MATCH(Table1[[#This Row],[Department ID]],Department!A:A,0))</f>
        <v>Production</v>
      </c>
      <c r="Z262" t="str">
        <f>INDEX(Manager!B:B,MATCH(Table1[[#This Row],[Manger ID]],Manager!A:A,0))</f>
        <v>Ketsia Liebig</v>
      </c>
      <c r="AA262">
        <f ca="1">DATEDIF(Table1[[#This Row],[DOB]],TODAY(), "Y")</f>
        <v>59</v>
      </c>
      <c r="AB262" t="str">
        <f ca="1">IF(Table1[[#This Row],[ Age]]&lt;18,"Less than 18",IF(Table1[[#This Row],[ Age]]&lt;=29,"18-29",IF(Table1[[#This Row],[ Age]]&lt;=49,"30-49",IF(Table1[[#This Row],[ Age]]&lt;=59,"50-59","60 or more"))))</f>
        <v>50-59</v>
      </c>
      <c r="AC262" s="8">
        <f ca="1">IF(ISBLANK(Table1[[#This Row],[DateofTermination]]),DATEDIF(Table1[[#This Row],[DateofHire]],TODAY(), "M"),DATEDIF(Table1[[#This Row],[DateofHire]],Table1[[#This Row],[DateofTermination]],"M"))/12</f>
        <v>10.333333333333334</v>
      </c>
      <c r="AD262" t="str">
        <f>IF(Table1[[#This Row],[EmpSatisfaction]]=1,"Very Dissatisfied", IF(Table1[[#This Row],[EmpSatisfaction]] = 2, "Dissatisfied", IF(Table1[[#This Row],[EmpSatisfaction]]  = 3, "Neutral", IF(Table1[[#This Row],[EmpSatisfaction]] = 4, "Satisfied", IF(Table1[[#This Row],[EmpSatisfaction]]=5,"Very Satisfied", " ")))))</f>
        <v>Neutral</v>
      </c>
      <c r="AE262">
        <f>YEAR(Table1[[#This Row],[DateofHire]])</f>
        <v>2013</v>
      </c>
      <c r="AF262" t="s">
        <v>25</v>
      </c>
    </row>
    <row r="263" spans="1:32" x14ac:dyDescent="0.3">
      <c r="A263" t="s">
        <v>389</v>
      </c>
      <c r="B263">
        <v>10119</v>
      </c>
      <c r="C263" t="s">
        <v>469</v>
      </c>
      <c r="D263" t="s">
        <v>488</v>
      </c>
      <c r="E263">
        <v>10220</v>
      </c>
      <c r="F263" s="1">
        <v>40704</v>
      </c>
      <c r="G263" s="7">
        <v>66593</v>
      </c>
      <c r="H263" t="s">
        <v>499</v>
      </c>
      <c r="I263" s="1">
        <v>26735</v>
      </c>
      <c r="J263" t="s">
        <v>31</v>
      </c>
      <c r="K263" t="s">
        <v>23</v>
      </c>
      <c r="L263" t="s">
        <v>57</v>
      </c>
      <c r="M263" t="s">
        <v>21</v>
      </c>
      <c r="N263">
        <v>2360</v>
      </c>
      <c r="P263" t="s">
        <v>512</v>
      </c>
      <c r="Q263" t="s">
        <v>25</v>
      </c>
      <c r="R263" t="s">
        <v>27</v>
      </c>
      <c r="S263" t="s">
        <v>36</v>
      </c>
      <c r="T263">
        <v>4.3</v>
      </c>
      <c r="U263">
        <v>3</v>
      </c>
      <c r="V263" s="1">
        <v>43504</v>
      </c>
      <c r="W263">
        <v>19</v>
      </c>
      <c r="X263" t="str">
        <f>INDEX(Position!B:B,MATCH(Table1[[#This Row],[Position ID]],Position!A:A, 0 ))</f>
        <v>IT Support</v>
      </c>
      <c r="Y263" t="str">
        <f>INDEX(Department!B:B,MATCH(Table1[[#This Row],[Department ID]],Department!A:A,0))</f>
        <v>IT/IS</v>
      </c>
      <c r="Z263" t="str">
        <f>INDEX(Manager!B:B,MATCH(Table1[[#This Row],[Manger ID]],Manager!A:A,0))</f>
        <v>Eric Dougall</v>
      </c>
      <c r="AA263">
        <f ca="1">DATEDIF(Table1[[#This Row],[DOB]],TODAY(), "Y")</f>
        <v>51</v>
      </c>
      <c r="AB263" t="str">
        <f ca="1">IF(Table1[[#This Row],[ Age]]&lt;18,"Less than 18",IF(Table1[[#This Row],[ Age]]&lt;=29,"18-29",IF(Table1[[#This Row],[ Age]]&lt;=49,"30-49",IF(Table1[[#This Row],[ Age]]&lt;=59,"50-59","60 or more"))))</f>
        <v>50-59</v>
      </c>
      <c r="AC263" s="8">
        <f ca="1">IF(ISBLANK(Table1[[#This Row],[DateofTermination]]),DATEDIF(Table1[[#This Row],[DateofHire]],TODAY(), "M"),DATEDIF(Table1[[#This Row],[DateofHire]],Table1[[#This Row],[DateofTermination]],"M"))/12</f>
        <v>12.75</v>
      </c>
      <c r="AD263" t="str">
        <f>IF(Table1[[#This Row],[EmpSatisfaction]]=1,"Very Dissatisfied", IF(Table1[[#This Row],[EmpSatisfaction]] = 2, "Dissatisfied", IF(Table1[[#This Row],[EmpSatisfaction]]  = 3, "Neutral", IF(Table1[[#This Row],[EmpSatisfaction]] = 4, "Satisfied", IF(Table1[[#This Row],[EmpSatisfaction]]=5,"Very Satisfied", " ")))))</f>
        <v>Neutral</v>
      </c>
      <c r="AE263">
        <f>YEAR(Table1[[#This Row],[DateofHire]])</f>
        <v>2011</v>
      </c>
      <c r="AF263" t="s">
        <v>25</v>
      </c>
    </row>
    <row r="264" spans="1:32" x14ac:dyDescent="0.3">
      <c r="A264" t="s">
        <v>390</v>
      </c>
      <c r="B264">
        <v>10180</v>
      </c>
      <c r="C264" t="s">
        <v>483</v>
      </c>
      <c r="D264" t="s">
        <v>488</v>
      </c>
      <c r="E264">
        <v>10250</v>
      </c>
      <c r="F264" s="1">
        <v>42551</v>
      </c>
      <c r="G264" s="7">
        <v>87565</v>
      </c>
      <c r="H264" t="s">
        <v>498</v>
      </c>
      <c r="I264" s="1">
        <v>30356</v>
      </c>
      <c r="J264" t="s">
        <v>31</v>
      </c>
      <c r="K264" t="s">
        <v>23</v>
      </c>
      <c r="L264" t="s">
        <v>82</v>
      </c>
      <c r="M264" t="s">
        <v>21</v>
      </c>
      <c r="N264">
        <v>1545</v>
      </c>
      <c r="P264" t="s">
        <v>512</v>
      </c>
      <c r="Q264" t="s">
        <v>25</v>
      </c>
      <c r="R264" t="s">
        <v>27</v>
      </c>
      <c r="S264" t="s">
        <v>36</v>
      </c>
      <c r="T264">
        <v>3.27</v>
      </c>
      <c r="U264">
        <v>4</v>
      </c>
      <c r="V264" s="1">
        <v>43479</v>
      </c>
      <c r="W264">
        <v>13</v>
      </c>
      <c r="X264" t="str">
        <f>INDEX(Position!B:B,MATCH(Table1[[#This Row],[Position ID]],Position!A:A, 0 ))</f>
        <v>Sr. Network Engineer</v>
      </c>
      <c r="Y264" t="str">
        <f>INDEX(Department!B:B,MATCH(Table1[[#This Row],[Department ID]],Department!A:A,0))</f>
        <v>IT/IS</v>
      </c>
      <c r="Z264" t="str">
        <f>INDEX(Manager!B:B,MATCH(Table1[[#This Row],[Manger ID]],Manager!A:A,0))</f>
        <v>Peter Monroe</v>
      </c>
      <c r="AA264">
        <f ca="1">DATEDIF(Table1[[#This Row],[DOB]],TODAY(), "Y")</f>
        <v>41</v>
      </c>
      <c r="AB264" t="str">
        <f ca="1">IF(Table1[[#This Row],[ Age]]&lt;18,"Less than 18",IF(Table1[[#This Row],[ Age]]&lt;=29,"18-29",IF(Table1[[#This Row],[ Age]]&lt;=49,"30-49",IF(Table1[[#This Row],[ Age]]&lt;=59,"50-59","60 or more"))))</f>
        <v>30-49</v>
      </c>
      <c r="AC264" s="8">
        <f ca="1">IF(ISBLANK(Table1[[#This Row],[DateofTermination]]),DATEDIF(Table1[[#This Row],[DateofHire]],TODAY(), "M"),DATEDIF(Table1[[#This Row],[DateofHire]],Table1[[#This Row],[DateofTermination]],"M"))/12</f>
        <v>7.75</v>
      </c>
      <c r="AD264" t="str">
        <f>IF(Table1[[#This Row],[EmpSatisfaction]]=1,"Very Dissatisfied", IF(Table1[[#This Row],[EmpSatisfaction]] = 2, "Dissatisfied", IF(Table1[[#This Row],[EmpSatisfaction]]  = 3, "Neutral", IF(Table1[[#This Row],[EmpSatisfaction]] = 4, "Satisfied", IF(Table1[[#This Row],[EmpSatisfaction]]=5,"Very Satisfied", " ")))))</f>
        <v>Satisfied</v>
      </c>
      <c r="AE264">
        <f>YEAR(Table1[[#This Row],[DateofHire]])</f>
        <v>2016</v>
      </c>
      <c r="AF264" t="s">
        <v>25</v>
      </c>
    </row>
    <row r="265" spans="1:32" x14ac:dyDescent="0.3">
      <c r="A265" t="s">
        <v>391</v>
      </c>
      <c r="B265">
        <v>10302</v>
      </c>
      <c r="C265" t="s">
        <v>474</v>
      </c>
      <c r="D265" t="s">
        <v>489</v>
      </c>
      <c r="E265">
        <v>10114</v>
      </c>
      <c r="F265" s="1">
        <v>40959</v>
      </c>
      <c r="G265" s="7">
        <v>64021</v>
      </c>
      <c r="H265" t="s">
        <v>499</v>
      </c>
      <c r="I265" s="1">
        <v>25039</v>
      </c>
      <c r="J265" t="s">
        <v>31</v>
      </c>
      <c r="K265" t="s">
        <v>23</v>
      </c>
      <c r="L265" t="s">
        <v>24</v>
      </c>
      <c r="M265" t="s">
        <v>21</v>
      </c>
      <c r="N265">
        <v>2093</v>
      </c>
      <c r="P265" t="s">
        <v>512</v>
      </c>
      <c r="Q265" t="s">
        <v>25</v>
      </c>
      <c r="R265" t="s">
        <v>35</v>
      </c>
      <c r="S265" t="s">
        <v>158</v>
      </c>
      <c r="T265">
        <v>2.4</v>
      </c>
      <c r="U265">
        <v>2</v>
      </c>
      <c r="V265" s="1">
        <v>43521</v>
      </c>
      <c r="W265">
        <v>20</v>
      </c>
      <c r="X265" t="str">
        <f>INDEX(Position!B:B,MATCH(Table1[[#This Row],[Position ID]],Position!A:A, 0 ))</f>
        <v>Production Technician I</v>
      </c>
      <c r="Y265" t="str">
        <f>INDEX(Department!B:B,MATCH(Table1[[#This Row],[Department ID]],Department!A:A,0))</f>
        <v>Production</v>
      </c>
      <c r="Z265" t="str">
        <f>INDEX(Manager!B:B,MATCH(Table1[[#This Row],[Manger ID]],Manager!A:A,0))</f>
        <v>Brannon Miller</v>
      </c>
      <c r="AA265">
        <f ca="1">DATEDIF(Table1[[#This Row],[DOB]],TODAY(), "Y")</f>
        <v>55</v>
      </c>
      <c r="AB265" t="str">
        <f ca="1">IF(Table1[[#This Row],[ Age]]&lt;18,"Less than 18",IF(Table1[[#This Row],[ Age]]&lt;=29,"18-29",IF(Table1[[#This Row],[ Age]]&lt;=49,"30-49",IF(Table1[[#This Row],[ Age]]&lt;=59,"50-59","60 or more"))))</f>
        <v>50-59</v>
      </c>
      <c r="AC265" s="8">
        <f ca="1">IF(ISBLANK(Table1[[#This Row],[DateofTermination]]),DATEDIF(Table1[[#This Row],[DateofHire]],TODAY(), "M"),DATEDIF(Table1[[#This Row],[DateofHire]],Table1[[#This Row],[DateofTermination]],"M"))/12</f>
        <v>12.083333333333334</v>
      </c>
      <c r="AD265" t="str">
        <f>IF(Table1[[#This Row],[EmpSatisfaction]]=1,"Very Dissatisfied", IF(Table1[[#This Row],[EmpSatisfaction]] = 2, "Dissatisfied", IF(Table1[[#This Row],[EmpSatisfaction]]  = 3, "Neutral", IF(Table1[[#This Row],[EmpSatisfaction]] = 4, "Satisfied", IF(Table1[[#This Row],[EmpSatisfaction]]=5,"Very Satisfied", " ")))))</f>
        <v>Dissatisfied</v>
      </c>
      <c r="AE265">
        <f>YEAR(Table1[[#This Row],[DateofHire]])</f>
        <v>2012</v>
      </c>
      <c r="AF265" t="s">
        <v>25</v>
      </c>
    </row>
    <row r="266" spans="1:32" x14ac:dyDescent="0.3">
      <c r="A266" t="s">
        <v>392</v>
      </c>
      <c r="B266">
        <v>10090</v>
      </c>
      <c r="C266" t="s">
        <v>473</v>
      </c>
      <c r="D266" t="s">
        <v>489</v>
      </c>
      <c r="E266">
        <v>10175</v>
      </c>
      <c r="F266" s="1">
        <v>41184</v>
      </c>
      <c r="G266" s="7">
        <v>65714</v>
      </c>
      <c r="H266" t="s">
        <v>499</v>
      </c>
      <c r="I266" s="1">
        <v>27667</v>
      </c>
      <c r="J266" t="s">
        <v>31</v>
      </c>
      <c r="K266" t="s">
        <v>23</v>
      </c>
      <c r="L266" t="s">
        <v>24</v>
      </c>
      <c r="M266" t="s">
        <v>21</v>
      </c>
      <c r="N266">
        <v>2451</v>
      </c>
      <c r="P266" t="s">
        <v>512</v>
      </c>
      <c r="Q266" t="s">
        <v>25</v>
      </c>
      <c r="R266" t="s">
        <v>27</v>
      </c>
      <c r="S266" t="s">
        <v>36</v>
      </c>
      <c r="T266">
        <v>4.83</v>
      </c>
      <c r="U266">
        <v>5</v>
      </c>
      <c r="V266" s="1">
        <v>43510</v>
      </c>
      <c r="W266">
        <v>15</v>
      </c>
      <c r="X266" t="str">
        <f>INDEX(Position!B:B,MATCH(Table1[[#This Row],[Position ID]],Position!A:A, 0 ))</f>
        <v>Production Manager</v>
      </c>
      <c r="Y266" t="str">
        <f>INDEX(Department!B:B,MATCH(Table1[[#This Row],[Department ID]],Department!A:A,0))</f>
        <v>Production</v>
      </c>
      <c r="Z266" t="str">
        <f>INDEX(Manager!B:B,MATCH(Table1[[#This Row],[Manger ID]],Manager!A:A,0))</f>
        <v>Janet King</v>
      </c>
      <c r="AA266">
        <f ca="1">DATEDIF(Table1[[#This Row],[DOB]],TODAY(), "Y")</f>
        <v>48</v>
      </c>
      <c r="AB266" t="str">
        <f ca="1">IF(Table1[[#This Row],[ Age]]&lt;18,"Less than 18",IF(Table1[[#This Row],[ Age]]&lt;=29,"18-29",IF(Table1[[#This Row],[ Age]]&lt;=49,"30-49",IF(Table1[[#This Row],[ Age]]&lt;=59,"50-59","60 or more"))))</f>
        <v>30-49</v>
      </c>
      <c r="AC266" s="8">
        <f ca="1">IF(ISBLANK(Table1[[#This Row],[DateofTermination]]),DATEDIF(Table1[[#This Row],[DateofHire]],TODAY(), "M"),DATEDIF(Table1[[#This Row],[DateofHire]],Table1[[#This Row],[DateofTermination]],"M"))/12</f>
        <v>11.5</v>
      </c>
      <c r="AD266" t="str">
        <f>IF(Table1[[#This Row],[EmpSatisfaction]]=1,"Very Dissatisfied", IF(Table1[[#This Row],[EmpSatisfaction]] = 2, "Dissatisfied", IF(Table1[[#This Row],[EmpSatisfaction]]  = 3, "Neutral", IF(Table1[[#This Row],[EmpSatisfaction]] = 4, "Satisfied", IF(Table1[[#This Row],[EmpSatisfaction]]=5,"Very Satisfied", " ")))))</f>
        <v>Very Satisfied</v>
      </c>
      <c r="AE266">
        <f>YEAR(Table1[[#This Row],[DateofHire]])</f>
        <v>2012</v>
      </c>
      <c r="AF266" t="s">
        <v>25</v>
      </c>
    </row>
    <row r="267" spans="1:32" hidden="1" x14ac:dyDescent="0.3">
      <c r="A267" t="s">
        <v>393</v>
      </c>
      <c r="B267">
        <v>10030</v>
      </c>
      <c r="C267" t="s">
        <v>474</v>
      </c>
      <c r="D267" t="s">
        <v>489</v>
      </c>
      <c r="E267">
        <v>10252</v>
      </c>
      <c r="F267" s="1">
        <v>41407</v>
      </c>
      <c r="G267" s="7">
        <v>62425</v>
      </c>
      <c r="H267" t="s">
        <v>499</v>
      </c>
      <c r="I267" s="1">
        <v>26749</v>
      </c>
      <c r="J267" t="s">
        <v>43</v>
      </c>
      <c r="K267" t="s">
        <v>23</v>
      </c>
      <c r="L267" t="s">
        <v>24</v>
      </c>
      <c r="M267" t="s">
        <v>21</v>
      </c>
      <c r="N267">
        <v>2359</v>
      </c>
      <c r="O267" s="1">
        <v>42184</v>
      </c>
      <c r="P267" t="s">
        <v>517</v>
      </c>
      <c r="Q267" t="s">
        <v>32</v>
      </c>
      <c r="R267" t="s">
        <v>27</v>
      </c>
      <c r="S267" t="s">
        <v>28</v>
      </c>
      <c r="T267">
        <v>4.0999999999999996</v>
      </c>
      <c r="U267">
        <v>4</v>
      </c>
      <c r="V267" s="1">
        <v>42065</v>
      </c>
      <c r="W267">
        <v>16</v>
      </c>
      <c r="X267" t="str">
        <f>INDEX(Position!B:B,MATCH(Table1[[#This Row],[Position ID]],Position!A:A, 0 ))</f>
        <v>Production Technician I</v>
      </c>
      <c r="Y267" t="str">
        <f>INDEX(Department!B:B,MATCH(Table1[[#This Row],[Department ID]],Department!A:A,0))</f>
        <v>Production</v>
      </c>
      <c r="Z267" t="str">
        <f>INDEX(Manager!B:B,MATCH(Table1[[#This Row],[Manger ID]],Manager!A:A,0))</f>
        <v>David Stanley</v>
      </c>
      <c r="AA267">
        <f ca="1">DATEDIF(Table1[[#This Row],[DOB]],TODAY(), "Y")</f>
        <v>51</v>
      </c>
      <c r="AB267" t="str">
        <f ca="1">IF(Table1[[#This Row],[ Age]]&lt;18,"Less than 18",IF(Table1[[#This Row],[ Age]]&lt;=29,"18-29",IF(Table1[[#This Row],[ Age]]&lt;=49,"30-49",IF(Table1[[#This Row],[ Age]]&lt;=59,"50-59","60 or more"))))</f>
        <v>50-59</v>
      </c>
      <c r="AC267" s="8">
        <f ca="1">IF(ISBLANK(Table1[[#This Row],[DateofTermination]]),DATEDIF(Table1[[#This Row],[DateofHire]],TODAY(), "M"),DATEDIF(Table1[[#This Row],[DateofHire]],Table1[[#This Row],[DateofTermination]],"M"))/12</f>
        <v>2.0833333333333335</v>
      </c>
      <c r="AD267" t="str">
        <f>IF(Table1[[#This Row],[EmpSatisfaction]]=1,"Very Dissatisfied", IF(Table1[[#This Row],[EmpSatisfaction]] = 2, "Dissatisfied", IF(Table1[[#This Row],[EmpSatisfaction]]  = 3, "Neutral", IF(Table1[[#This Row],[EmpSatisfaction]] = 4, "Satisfied", IF(Table1[[#This Row],[EmpSatisfaction]]=5,"Very Satisfied", " ")))))</f>
        <v>Satisfied</v>
      </c>
      <c r="AE267">
        <f>YEAR(Table1[[#This Row],[DateofHire]])</f>
        <v>2013</v>
      </c>
      <c r="AF267" t="s">
        <v>535</v>
      </c>
    </row>
    <row r="268" spans="1:32" x14ac:dyDescent="0.3">
      <c r="A268" t="s">
        <v>394</v>
      </c>
      <c r="B268">
        <v>10278</v>
      </c>
      <c r="C268" t="s">
        <v>474</v>
      </c>
      <c r="D268" t="s">
        <v>489</v>
      </c>
      <c r="E268">
        <v>10196</v>
      </c>
      <c r="F268" s="1">
        <v>40553</v>
      </c>
      <c r="G268" s="7">
        <v>47961</v>
      </c>
      <c r="H268" t="s">
        <v>499</v>
      </c>
      <c r="I268" s="1">
        <v>30188</v>
      </c>
      <c r="J268" t="s">
        <v>43</v>
      </c>
      <c r="K268" t="s">
        <v>23</v>
      </c>
      <c r="L268" t="s">
        <v>70</v>
      </c>
      <c r="M268" t="s">
        <v>21</v>
      </c>
      <c r="N268">
        <v>2050</v>
      </c>
      <c r="P268" t="s">
        <v>512</v>
      </c>
      <c r="Q268" t="s">
        <v>25</v>
      </c>
      <c r="R268" t="s">
        <v>45</v>
      </c>
      <c r="S268" t="s">
        <v>36</v>
      </c>
      <c r="T268">
        <v>4.0999999999999996</v>
      </c>
      <c r="U268">
        <v>4</v>
      </c>
      <c r="V268" s="1">
        <v>43503</v>
      </c>
      <c r="W268">
        <v>9</v>
      </c>
      <c r="X268" t="str">
        <f>INDEX(Position!B:B,MATCH(Table1[[#This Row],[Position ID]],Position!A:A, 0 ))</f>
        <v>Production Technician I</v>
      </c>
      <c r="Y268" t="str">
        <f>INDEX(Department!B:B,MATCH(Table1[[#This Row],[Department ID]],Department!A:A,0))</f>
        <v>Production</v>
      </c>
      <c r="Z268" t="str">
        <f>INDEX(Manager!B:B,MATCH(Table1[[#This Row],[Manger ID]],Manager!A:A,0))</f>
        <v>Kissy Sullivan</v>
      </c>
      <c r="AA268">
        <f ca="1">DATEDIF(Table1[[#This Row],[DOB]],TODAY(), "Y")</f>
        <v>41</v>
      </c>
      <c r="AB268" t="str">
        <f ca="1">IF(Table1[[#This Row],[ Age]]&lt;18,"Less than 18",IF(Table1[[#This Row],[ Age]]&lt;=29,"18-29",IF(Table1[[#This Row],[ Age]]&lt;=49,"30-49",IF(Table1[[#This Row],[ Age]]&lt;=59,"50-59","60 or more"))))</f>
        <v>30-49</v>
      </c>
      <c r="AC268" s="8">
        <f ca="1">IF(ISBLANK(Table1[[#This Row],[DateofTermination]]),DATEDIF(Table1[[#This Row],[DateofHire]],TODAY(), "M"),DATEDIF(Table1[[#This Row],[DateofHire]],Table1[[#This Row],[DateofTermination]],"M"))/12</f>
        <v>13.166666666666666</v>
      </c>
      <c r="AD268" t="str">
        <f>IF(Table1[[#This Row],[EmpSatisfaction]]=1,"Very Dissatisfied", IF(Table1[[#This Row],[EmpSatisfaction]] = 2, "Dissatisfied", IF(Table1[[#This Row],[EmpSatisfaction]]  = 3, "Neutral", IF(Table1[[#This Row],[EmpSatisfaction]] = 4, "Satisfied", IF(Table1[[#This Row],[EmpSatisfaction]]=5,"Very Satisfied", " ")))))</f>
        <v>Satisfied</v>
      </c>
      <c r="AE268">
        <f>YEAR(Table1[[#This Row],[DateofHire]])</f>
        <v>2011</v>
      </c>
      <c r="AF268" t="s">
        <v>25</v>
      </c>
    </row>
    <row r="269" spans="1:32" x14ac:dyDescent="0.3">
      <c r="A269" t="s">
        <v>395</v>
      </c>
      <c r="B269">
        <v>10307</v>
      </c>
      <c r="C269" t="s">
        <v>454</v>
      </c>
      <c r="D269" t="s">
        <v>490</v>
      </c>
      <c r="E269">
        <v>10200</v>
      </c>
      <c r="F269" s="1">
        <v>41771</v>
      </c>
      <c r="G269" s="7">
        <v>58273</v>
      </c>
      <c r="H269" t="s">
        <v>498</v>
      </c>
      <c r="I269" s="1">
        <v>27158</v>
      </c>
      <c r="J269" t="s">
        <v>31</v>
      </c>
      <c r="K269" t="s">
        <v>23</v>
      </c>
      <c r="L269" t="s">
        <v>24</v>
      </c>
      <c r="M269" t="s">
        <v>396</v>
      </c>
      <c r="N269">
        <v>89139</v>
      </c>
      <c r="P269" t="s">
        <v>512</v>
      </c>
      <c r="Q269" t="s">
        <v>25</v>
      </c>
      <c r="R269" t="s">
        <v>167</v>
      </c>
      <c r="S269" t="s">
        <v>158</v>
      </c>
      <c r="T269">
        <v>1.81</v>
      </c>
      <c r="U269">
        <v>2</v>
      </c>
      <c r="V269" s="1">
        <v>43482</v>
      </c>
      <c r="W269">
        <v>5</v>
      </c>
      <c r="X269" t="str">
        <f>INDEX(Position!B:B,MATCH(Table1[[#This Row],[Position ID]],Position!A:A, 0 ))</f>
        <v>Area Sales Manager</v>
      </c>
      <c r="Y269" t="str">
        <f>INDEX(Department!B:B,MATCH(Table1[[#This Row],[Department ID]],Department!A:A,0))</f>
        <v>Sales</v>
      </c>
      <c r="Z269" t="str">
        <f>INDEX(Manager!B:B,MATCH(Table1[[#This Row],[Manger ID]],Manager!A:A,0))</f>
        <v>Lynn Daneault</v>
      </c>
      <c r="AA269">
        <f ca="1">DATEDIF(Table1[[#This Row],[DOB]],TODAY(), "Y")</f>
        <v>49</v>
      </c>
      <c r="AB269" t="str">
        <f ca="1">IF(Table1[[#This Row],[ Age]]&lt;18,"Less than 18",IF(Table1[[#This Row],[ Age]]&lt;=29,"18-29",IF(Table1[[#This Row],[ Age]]&lt;=49,"30-49",IF(Table1[[#This Row],[ Age]]&lt;=59,"50-59","60 or more"))))</f>
        <v>30-49</v>
      </c>
      <c r="AC269" s="8">
        <f ca="1">IF(ISBLANK(Table1[[#This Row],[DateofTermination]]),DATEDIF(Table1[[#This Row],[DateofHire]],TODAY(), "M"),DATEDIF(Table1[[#This Row],[DateofHire]],Table1[[#This Row],[DateofTermination]],"M"))/12</f>
        <v>9.8333333333333339</v>
      </c>
      <c r="AD269" t="str">
        <f>IF(Table1[[#This Row],[EmpSatisfaction]]=1,"Very Dissatisfied", IF(Table1[[#This Row],[EmpSatisfaction]] = 2, "Dissatisfied", IF(Table1[[#This Row],[EmpSatisfaction]]  = 3, "Neutral", IF(Table1[[#This Row],[EmpSatisfaction]] = 4, "Satisfied", IF(Table1[[#This Row],[EmpSatisfaction]]=5,"Very Satisfied", " ")))))</f>
        <v>Dissatisfied</v>
      </c>
      <c r="AE269">
        <f>YEAR(Table1[[#This Row],[DateofHire]])</f>
        <v>2014</v>
      </c>
      <c r="AF269" t="s">
        <v>25</v>
      </c>
    </row>
    <row r="270" spans="1:32" x14ac:dyDescent="0.3">
      <c r="A270" t="s">
        <v>397</v>
      </c>
      <c r="B270">
        <v>10147</v>
      </c>
      <c r="C270" t="s">
        <v>452</v>
      </c>
      <c r="D270" t="s">
        <v>486</v>
      </c>
      <c r="E270">
        <v>10081</v>
      </c>
      <c r="F270" s="1">
        <v>41911</v>
      </c>
      <c r="G270" s="7">
        <v>63003</v>
      </c>
      <c r="H270" t="s">
        <v>498</v>
      </c>
      <c r="I270" s="1">
        <v>31656</v>
      </c>
      <c r="J270" t="s">
        <v>22</v>
      </c>
      <c r="K270" t="s">
        <v>23</v>
      </c>
      <c r="L270" t="s">
        <v>24</v>
      </c>
      <c r="M270" t="s">
        <v>21</v>
      </c>
      <c r="N270">
        <v>2703</v>
      </c>
      <c r="P270" t="s">
        <v>512</v>
      </c>
      <c r="Q270" t="s">
        <v>25</v>
      </c>
      <c r="R270" t="s">
        <v>35</v>
      </c>
      <c r="S270" t="s">
        <v>36</v>
      </c>
      <c r="T270">
        <v>3.9</v>
      </c>
      <c r="U270">
        <v>5</v>
      </c>
      <c r="V270" s="1">
        <v>43483</v>
      </c>
      <c r="W270">
        <v>9</v>
      </c>
      <c r="X270" t="str">
        <f>INDEX(Position!B:B,MATCH(Table1[[#This Row],[Position ID]],Position!A:A, 0 ))</f>
        <v>Accountant I</v>
      </c>
      <c r="Y270" t="str">
        <f>INDEX(Department!B:B,MATCH(Table1[[#This Row],[Department ID]],Department!A:A,0))</f>
        <v>Admin Offices</v>
      </c>
      <c r="Z270" t="str">
        <f>INDEX(Manager!B:B,MATCH(Table1[[#This Row],[Manger ID]],Manager!A:A,0))</f>
        <v>Brandon R. LeBlanc</v>
      </c>
      <c r="AA270">
        <f ca="1">DATEDIF(Table1[[#This Row],[DOB]],TODAY(), "Y")</f>
        <v>37</v>
      </c>
      <c r="AB270" t="str">
        <f ca="1">IF(Table1[[#This Row],[ Age]]&lt;18,"Less than 18",IF(Table1[[#This Row],[ Age]]&lt;=29,"18-29",IF(Table1[[#This Row],[ Age]]&lt;=49,"30-49",IF(Table1[[#This Row],[ Age]]&lt;=59,"50-59","60 or more"))))</f>
        <v>30-49</v>
      </c>
      <c r="AC270" s="8">
        <f ca="1">IF(ISBLANK(Table1[[#This Row],[DateofTermination]]),DATEDIF(Table1[[#This Row],[DateofHire]],TODAY(), "M"),DATEDIF(Table1[[#This Row],[DateofHire]],Table1[[#This Row],[DateofTermination]],"M"))/12</f>
        <v>9.5</v>
      </c>
      <c r="AD270" t="str">
        <f>IF(Table1[[#This Row],[EmpSatisfaction]]=1,"Very Dissatisfied", IF(Table1[[#This Row],[EmpSatisfaction]] = 2, "Dissatisfied", IF(Table1[[#This Row],[EmpSatisfaction]]  = 3, "Neutral", IF(Table1[[#This Row],[EmpSatisfaction]] = 4, "Satisfied", IF(Table1[[#This Row],[EmpSatisfaction]]=5,"Very Satisfied", " ")))))</f>
        <v>Very Satisfied</v>
      </c>
      <c r="AE270">
        <f>YEAR(Table1[[#This Row],[DateofHire]])</f>
        <v>2014</v>
      </c>
      <c r="AF270" t="s">
        <v>25</v>
      </c>
    </row>
    <row r="271" spans="1:32" x14ac:dyDescent="0.3">
      <c r="A271" t="s">
        <v>398</v>
      </c>
      <c r="B271">
        <v>10266</v>
      </c>
      <c r="C271" t="s">
        <v>474</v>
      </c>
      <c r="D271" t="s">
        <v>489</v>
      </c>
      <c r="E271">
        <v>10265</v>
      </c>
      <c r="F271" s="1">
        <v>41687</v>
      </c>
      <c r="G271" s="7">
        <v>61355</v>
      </c>
      <c r="H271" t="s">
        <v>498</v>
      </c>
      <c r="I271" s="1">
        <v>31120</v>
      </c>
      <c r="J271" t="s">
        <v>31</v>
      </c>
      <c r="K271" t="s">
        <v>23</v>
      </c>
      <c r="L271" t="s">
        <v>82</v>
      </c>
      <c r="M271" t="s">
        <v>21</v>
      </c>
      <c r="N271">
        <v>2301</v>
      </c>
      <c r="P271" t="s">
        <v>512</v>
      </c>
      <c r="Q271" t="s">
        <v>25</v>
      </c>
      <c r="R271" t="s">
        <v>27</v>
      </c>
      <c r="S271" t="s">
        <v>36</v>
      </c>
      <c r="T271">
        <v>4.7</v>
      </c>
      <c r="U271">
        <v>3</v>
      </c>
      <c r="V271" s="1">
        <v>43476</v>
      </c>
      <c r="W271">
        <v>4</v>
      </c>
      <c r="X271" t="str">
        <f>INDEX(Position!B:B,MATCH(Table1[[#This Row],[Position ID]],Position!A:A, 0 ))</f>
        <v>Production Technician I</v>
      </c>
      <c r="Y271" t="str">
        <f>INDEX(Department!B:B,MATCH(Table1[[#This Row],[Department ID]],Department!A:A,0))</f>
        <v>Production</v>
      </c>
      <c r="Z271" t="str">
        <f>INDEX(Manager!B:B,MATCH(Table1[[#This Row],[Manger ID]],Manager!A:A,0))</f>
        <v>Kelley Spirea</v>
      </c>
      <c r="AA271">
        <f ca="1">DATEDIF(Table1[[#This Row],[DOB]],TODAY(), "Y")</f>
        <v>39</v>
      </c>
      <c r="AB271" t="str">
        <f ca="1">IF(Table1[[#This Row],[ Age]]&lt;18,"Less than 18",IF(Table1[[#This Row],[ Age]]&lt;=29,"18-29",IF(Table1[[#This Row],[ Age]]&lt;=49,"30-49",IF(Table1[[#This Row],[ Age]]&lt;=59,"50-59","60 or more"))))</f>
        <v>30-49</v>
      </c>
      <c r="AC271" s="8">
        <f ca="1">IF(ISBLANK(Table1[[#This Row],[DateofTermination]]),DATEDIF(Table1[[#This Row],[DateofHire]],TODAY(), "M"),DATEDIF(Table1[[#This Row],[DateofHire]],Table1[[#This Row],[DateofTermination]],"M"))/12</f>
        <v>10.083333333333334</v>
      </c>
      <c r="AD271" t="str">
        <f>IF(Table1[[#This Row],[EmpSatisfaction]]=1,"Very Dissatisfied", IF(Table1[[#This Row],[EmpSatisfaction]] = 2, "Dissatisfied", IF(Table1[[#This Row],[EmpSatisfaction]]  = 3, "Neutral", IF(Table1[[#This Row],[EmpSatisfaction]] = 4, "Satisfied", IF(Table1[[#This Row],[EmpSatisfaction]]=5,"Very Satisfied", " ")))))</f>
        <v>Neutral</v>
      </c>
      <c r="AE271">
        <f>YEAR(Table1[[#This Row],[DateofHire]])</f>
        <v>2014</v>
      </c>
      <c r="AF271" t="s">
        <v>25</v>
      </c>
    </row>
    <row r="272" spans="1:32" x14ac:dyDescent="0.3">
      <c r="A272" t="s">
        <v>399</v>
      </c>
      <c r="B272">
        <v>10241</v>
      </c>
      <c r="C272" t="s">
        <v>454</v>
      </c>
      <c r="D272" t="s">
        <v>490</v>
      </c>
      <c r="E272">
        <v>10188</v>
      </c>
      <c r="F272" s="1">
        <v>40448</v>
      </c>
      <c r="G272" s="7">
        <v>60120</v>
      </c>
      <c r="H272" t="s">
        <v>499</v>
      </c>
      <c r="I272" s="1">
        <v>32640</v>
      </c>
      <c r="J272" t="s">
        <v>31</v>
      </c>
      <c r="K272" t="s">
        <v>23</v>
      </c>
      <c r="L272" t="s">
        <v>57</v>
      </c>
      <c r="M272" t="s">
        <v>400</v>
      </c>
      <c r="N272">
        <v>59102</v>
      </c>
      <c r="P272" t="s">
        <v>512</v>
      </c>
      <c r="Q272" t="s">
        <v>25</v>
      </c>
      <c r="R272" t="s">
        <v>35</v>
      </c>
      <c r="S272" t="s">
        <v>36</v>
      </c>
      <c r="T272">
        <v>4.0999999999999996</v>
      </c>
      <c r="U272">
        <v>4</v>
      </c>
      <c r="V272" s="1">
        <v>43496</v>
      </c>
      <c r="W272">
        <v>18</v>
      </c>
      <c r="X272" t="str">
        <f>INDEX(Position!B:B,MATCH(Table1[[#This Row],[Position ID]],Position!A:A, 0 ))</f>
        <v>Area Sales Manager</v>
      </c>
      <c r="Y272" t="str">
        <f>INDEX(Department!B:B,MATCH(Table1[[#This Row],[Department ID]],Department!A:A,0))</f>
        <v>Sales</v>
      </c>
      <c r="Z272" t="str">
        <f>INDEX(Manager!B:B,MATCH(Table1[[#This Row],[Manger ID]],Manager!A:A,0))</f>
        <v>John Smith</v>
      </c>
      <c r="AA272">
        <f ca="1">DATEDIF(Table1[[#This Row],[DOB]],TODAY(), "Y")</f>
        <v>34</v>
      </c>
      <c r="AB272" t="str">
        <f ca="1">IF(Table1[[#This Row],[ Age]]&lt;18,"Less than 18",IF(Table1[[#This Row],[ Age]]&lt;=29,"18-29",IF(Table1[[#This Row],[ Age]]&lt;=49,"30-49",IF(Table1[[#This Row],[ Age]]&lt;=59,"50-59","60 or more"))))</f>
        <v>30-49</v>
      </c>
      <c r="AC272" s="8">
        <f ca="1">IF(ISBLANK(Table1[[#This Row],[DateofTermination]]),DATEDIF(Table1[[#This Row],[DateofHire]],TODAY(), "M"),DATEDIF(Table1[[#This Row],[DateofHire]],Table1[[#This Row],[DateofTermination]],"M"))/12</f>
        <v>13.5</v>
      </c>
      <c r="AD272" t="str">
        <f>IF(Table1[[#This Row],[EmpSatisfaction]]=1,"Very Dissatisfied", IF(Table1[[#This Row],[EmpSatisfaction]] = 2, "Dissatisfied", IF(Table1[[#This Row],[EmpSatisfaction]]  = 3, "Neutral", IF(Table1[[#This Row],[EmpSatisfaction]] = 4, "Satisfied", IF(Table1[[#This Row],[EmpSatisfaction]]=5,"Very Satisfied", " ")))))</f>
        <v>Satisfied</v>
      </c>
      <c r="AE272">
        <f>YEAR(Table1[[#This Row],[DateofHire]])</f>
        <v>2010</v>
      </c>
      <c r="AF272" t="s">
        <v>25</v>
      </c>
    </row>
    <row r="273" spans="1:32" x14ac:dyDescent="0.3">
      <c r="A273" t="s">
        <v>401</v>
      </c>
      <c r="B273">
        <v>10158</v>
      </c>
      <c r="C273" t="s">
        <v>473</v>
      </c>
      <c r="D273" t="s">
        <v>489</v>
      </c>
      <c r="E273">
        <v>10175</v>
      </c>
      <c r="F273" s="1">
        <v>39821</v>
      </c>
      <c r="G273" s="7">
        <v>63682</v>
      </c>
      <c r="H273" t="s">
        <v>499</v>
      </c>
      <c r="I273" s="1">
        <v>28577</v>
      </c>
      <c r="J273" t="s">
        <v>31</v>
      </c>
      <c r="K273" t="s">
        <v>23</v>
      </c>
      <c r="L273" t="s">
        <v>57</v>
      </c>
      <c r="M273" t="s">
        <v>21</v>
      </c>
      <c r="N273">
        <v>1776</v>
      </c>
      <c r="P273" t="s">
        <v>512</v>
      </c>
      <c r="Q273" t="s">
        <v>25</v>
      </c>
      <c r="R273" t="s">
        <v>35</v>
      </c>
      <c r="S273" t="s">
        <v>36</v>
      </c>
      <c r="T273">
        <v>3.73</v>
      </c>
      <c r="U273">
        <v>4</v>
      </c>
      <c r="V273" s="1">
        <v>43489</v>
      </c>
      <c r="W273">
        <v>12</v>
      </c>
      <c r="X273" t="str">
        <f>INDEX(Position!B:B,MATCH(Table1[[#This Row],[Position ID]],Position!A:A, 0 ))</f>
        <v>Production Manager</v>
      </c>
      <c r="Y273" t="str">
        <f>INDEX(Department!B:B,MATCH(Table1[[#This Row],[Department ID]],Department!A:A,0))</f>
        <v>Production</v>
      </c>
      <c r="Z273" t="str">
        <f>INDEX(Manager!B:B,MATCH(Table1[[#This Row],[Manger ID]],Manager!A:A,0))</f>
        <v>Janet King</v>
      </c>
      <c r="AA273">
        <f ca="1">DATEDIF(Table1[[#This Row],[DOB]],TODAY(), "Y")</f>
        <v>46</v>
      </c>
      <c r="AB273" t="str">
        <f ca="1">IF(Table1[[#This Row],[ Age]]&lt;18,"Less than 18",IF(Table1[[#This Row],[ Age]]&lt;=29,"18-29",IF(Table1[[#This Row],[ Age]]&lt;=49,"30-49",IF(Table1[[#This Row],[ Age]]&lt;=59,"50-59","60 or more"))))</f>
        <v>30-49</v>
      </c>
      <c r="AC273" s="8">
        <f ca="1">IF(ISBLANK(Table1[[#This Row],[DateofTermination]]),DATEDIF(Table1[[#This Row],[DateofHire]],TODAY(), "M"),DATEDIF(Table1[[#This Row],[DateofHire]],Table1[[#This Row],[DateofTermination]],"M"))/12</f>
        <v>15.25</v>
      </c>
      <c r="AD273" t="str">
        <f>IF(Table1[[#This Row],[EmpSatisfaction]]=1,"Very Dissatisfied", IF(Table1[[#This Row],[EmpSatisfaction]] = 2, "Dissatisfied", IF(Table1[[#This Row],[EmpSatisfaction]]  = 3, "Neutral", IF(Table1[[#This Row],[EmpSatisfaction]] = 4, "Satisfied", IF(Table1[[#This Row],[EmpSatisfaction]]=5,"Very Satisfied", " ")))))</f>
        <v>Satisfied</v>
      </c>
      <c r="AE273">
        <f>YEAR(Table1[[#This Row],[DateofHire]])</f>
        <v>2009</v>
      </c>
      <c r="AF273" t="s">
        <v>25</v>
      </c>
    </row>
    <row r="274" spans="1:32" x14ac:dyDescent="0.3">
      <c r="A274" t="s">
        <v>402</v>
      </c>
      <c r="B274">
        <v>10117</v>
      </c>
      <c r="C274" t="s">
        <v>474</v>
      </c>
      <c r="D274" t="s">
        <v>489</v>
      </c>
      <c r="E274">
        <v>10026</v>
      </c>
      <c r="F274" s="1">
        <v>42009</v>
      </c>
      <c r="G274" s="7">
        <v>63025</v>
      </c>
      <c r="H274" t="s">
        <v>498</v>
      </c>
      <c r="I274" s="1">
        <v>30231</v>
      </c>
      <c r="J274" t="s">
        <v>31</v>
      </c>
      <c r="K274" t="s">
        <v>23</v>
      </c>
      <c r="L274" t="s">
        <v>24</v>
      </c>
      <c r="M274" t="s">
        <v>21</v>
      </c>
      <c r="N274">
        <v>2747</v>
      </c>
      <c r="P274" t="s">
        <v>512</v>
      </c>
      <c r="Q274" t="s">
        <v>25</v>
      </c>
      <c r="R274" t="s">
        <v>45</v>
      </c>
      <c r="S274" t="s">
        <v>36</v>
      </c>
      <c r="T274">
        <v>4.3600000000000003</v>
      </c>
      <c r="U274">
        <v>5</v>
      </c>
      <c r="V274" s="1">
        <v>43489</v>
      </c>
      <c r="W274">
        <v>10</v>
      </c>
      <c r="X274" t="str">
        <f>INDEX(Position!B:B,MATCH(Table1[[#This Row],[Position ID]],Position!A:A, 0 ))</f>
        <v>Production Technician I</v>
      </c>
      <c r="Y274" t="str">
        <f>INDEX(Department!B:B,MATCH(Table1[[#This Row],[Department ID]],Department!A:A,0))</f>
        <v>Production</v>
      </c>
      <c r="Z274" t="str">
        <f>INDEX(Manager!B:B,MATCH(Table1[[#This Row],[Manger ID]],Manager!A:A,0))</f>
        <v>Michael Albert</v>
      </c>
      <c r="AA274">
        <f ca="1">DATEDIF(Table1[[#This Row],[DOB]],TODAY(), "Y")</f>
        <v>41</v>
      </c>
      <c r="AB274" t="str">
        <f ca="1">IF(Table1[[#This Row],[ Age]]&lt;18,"Less than 18",IF(Table1[[#This Row],[ Age]]&lt;=29,"18-29",IF(Table1[[#This Row],[ Age]]&lt;=49,"30-49",IF(Table1[[#This Row],[ Age]]&lt;=59,"50-59","60 or more"))))</f>
        <v>30-49</v>
      </c>
      <c r="AC274" s="8">
        <f ca="1">IF(ISBLANK(Table1[[#This Row],[DateofTermination]]),DATEDIF(Table1[[#This Row],[DateofHire]],TODAY(), "M"),DATEDIF(Table1[[#This Row],[DateofHire]],Table1[[#This Row],[DateofTermination]],"M"))/12</f>
        <v>9.25</v>
      </c>
      <c r="AD274" t="str">
        <f>IF(Table1[[#This Row],[EmpSatisfaction]]=1,"Very Dissatisfied", IF(Table1[[#This Row],[EmpSatisfaction]] = 2, "Dissatisfied", IF(Table1[[#This Row],[EmpSatisfaction]]  = 3, "Neutral", IF(Table1[[#This Row],[EmpSatisfaction]] = 4, "Satisfied", IF(Table1[[#This Row],[EmpSatisfaction]]=5,"Very Satisfied", " ")))))</f>
        <v>Very Satisfied</v>
      </c>
      <c r="AE274">
        <f>YEAR(Table1[[#This Row],[DateofHire]])</f>
        <v>2015</v>
      </c>
      <c r="AF274" t="s">
        <v>25</v>
      </c>
    </row>
    <row r="275" spans="1:32" x14ac:dyDescent="0.3">
      <c r="A275" t="s">
        <v>403</v>
      </c>
      <c r="B275">
        <v>10209</v>
      </c>
      <c r="C275" t="s">
        <v>474</v>
      </c>
      <c r="D275" t="s">
        <v>489</v>
      </c>
      <c r="E275">
        <v>10088</v>
      </c>
      <c r="F275" s="1">
        <v>41043</v>
      </c>
      <c r="G275" s="7">
        <v>59238</v>
      </c>
      <c r="H275" t="s">
        <v>499</v>
      </c>
      <c r="I275" s="1">
        <v>25065</v>
      </c>
      <c r="J275" t="s">
        <v>22</v>
      </c>
      <c r="K275" t="s">
        <v>78</v>
      </c>
      <c r="L275" t="s">
        <v>82</v>
      </c>
      <c r="M275" t="s">
        <v>21</v>
      </c>
      <c r="N275">
        <v>2718</v>
      </c>
      <c r="P275" t="s">
        <v>512</v>
      </c>
      <c r="Q275" t="s">
        <v>25</v>
      </c>
      <c r="R275" t="s">
        <v>35</v>
      </c>
      <c r="S275" t="s">
        <v>36</v>
      </c>
      <c r="T275">
        <v>3.4</v>
      </c>
      <c r="U275">
        <v>5</v>
      </c>
      <c r="V275" s="1">
        <v>43496</v>
      </c>
      <c r="W275">
        <v>13</v>
      </c>
      <c r="X275" t="str">
        <f>INDEX(Position!B:B,MATCH(Table1[[#This Row],[Position ID]],Position!A:A, 0 ))</f>
        <v>Production Technician I</v>
      </c>
      <c r="Y275" t="str">
        <f>INDEX(Department!B:B,MATCH(Table1[[#This Row],[Department ID]],Department!A:A,0))</f>
        <v>Production</v>
      </c>
      <c r="Z275" t="str">
        <f>INDEX(Manager!B:B,MATCH(Table1[[#This Row],[Manger ID]],Manager!A:A,0))</f>
        <v>Elijiah Gray</v>
      </c>
      <c r="AA275">
        <f ca="1">DATEDIF(Table1[[#This Row],[DOB]],TODAY(), "Y")</f>
        <v>55</v>
      </c>
      <c r="AB275" t="str">
        <f ca="1">IF(Table1[[#This Row],[ Age]]&lt;18,"Less than 18",IF(Table1[[#This Row],[ Age]]&lt;=29,"18-29",IF(Table1[[#This Row],[ Age]]&lt;=49,"30-49",IF(Table1[[#This Row],[ Age]]&lt;=59,"50-59","60 or more"))))</f>
        <v>50-59</v>
      </c>
      <c r="AC275" s="8">
        <f ca="1">IF(ISBLANK(Table1[[#This Row],[DateofTermination]]),DATEDIF(Table1[[#This Row],[DateofHire]],TODAY(), "M"),DATEDIF(Table1[[#This Row],[DateofHire]],Table1[[#This Row],[DateofTermination]],"M"))/12</f>
        <v>11.833333333333334</v>
      </c>
      <c r="AD275" t="str">
        <f>IF(Table1[[#This Row],[EmpSatisfaction]]=1,"Very Dissatisfied", IF(Table1[[#This Row],[EmpSatisfaction]] = 2, "Dissatisfied", IF(Table1[[#This Row],[EmpSatisfaction]]  = 3, "Neutral", IF(Table1[[#This Row],[EmpSatisfaction]] = 4, "Satisfied", IF(Table1[[#This Row],[EmpSatisfaction]]=5,"Very Satisfied", " ")))))</f>
        <v>Very Satisfied</v>
      </c>
      <c r="AE275">
        <f>YEAR(Table1[[#This Row],[DateofHire]])</f>
        <v>2012</v>
      </c>
      <c r="AF275" t="s">
        <v>25</v>
      </c>
    </row>
    <row r="276" spans="1:32" x14ac:dyDescent="0.3">
      <c r="A276" t="s">
        <v>404</v>
      </c>
      <c r="B276">
        <v>10024</v>
      </c>
      <c r="C276" t="s">
        <v>479</v>
      </c>
      <c r="D276" t="s">
        <v>491</v>
      </c>
      <c r="E276">
        <v>10194</v>
      </c>
      <c r="F276" s="1">
        <v>41827</v>
      </c>
      <c r="G276" s="7">
        <v>92989</v>
      </c>
      <c r="H276" t="s">
        <v>498</v>
      </c>
      <c r="I276" s="1">
        <v>30442</v>
      </c>
      <c r="J276" t="s">
        <v>22</v>
      </c>
      <c r="K276" t="s">
        <v>23</v>
      </c>
      <c r="L276" t="s">
        <v>24</v>
      </c>
      <c r="M276" t="s">
        <v>21</v>
      </c>
      <c r="N276">
        <v>2140</v>
      </c>
      <c r="P276" t="s">
        <v>512</v>
      </c>
      <c r="Q276" t="s">
        <v>25</v>
      </c>
      <c r="R276" t="s">
        <v>27</v>
      </c>
      <c r="S276" t="s">
        <v>28</v>
      </c>
      <c r="T276">
        <v>4.5</v>
      </c>
      <c r="U276">
        <v>5</v>
      </c>
      <c r="V276" s="1">
        <v>43514</v>
      </c>
      <c r="W276">
        <v>1</v>
      </c>
      <c r="X276" t="str">
        <f>INDEX(Position!B:B,MATCH(Table1[[#This Row],[Position ID]],Position!A:A, 0 ))</f>
        <v>Software Engineer</v>
      </c>
      <c r="Y276" t="str">
        <f>INDEX(Department!B:B,MATCH(Table1[[#This Row],[Department ID]],Department!A:A,0))</f>
        <v>Software Engineering</v>
      </c>
      <c r="Z276" t="str">
        <f>INDEX(Manager!B:B,MATCH(Table1[[#This Row],[Manger ID]],Manager!A:A,0))</f>
        <v>Alex Sweetwater</v>
      </c>
      <c r="AA276">
        <f ca="1">DATEDIF(Table1[[#This Row],[DOB]],TODAY(), "Y")</f>
        <v>40</v>
      </c>
      <c r="AB276" t="str">
        <f ca="1">IF(Table1[[#This Row],[ Age]]&lt;18,"Less than 18",IF(Table1[[#This Row],[ Age]]&lt;=29,"18-29",IF(Table1[[#This Row],[ Age]]&lt;=49,"30-49",IF(Table1[[#This Row],[ Age]]&lt;=59,"50-59","60 or more"))))</f>
        <v>30-49</v>
      </c>
      <c r="AC276" s="8">
        <f ca="1">IF(ISBLANK(Table1[[#This Row],[DateofTermination]]),DATEDIF(Table1[[#This Row],[DateofHire]],TODAY(), "M"),DATEDIF(Table1[[#This Row],[DateofHire]],Table1[[#This Row],[DateofTermination]],"M"))/12</f>
        <v>9.75</v>
      </c>
      <c r="AD276" t="str">
        <f>IF(Table1[[#This Row],[EmpSatisfaction]]=1,"Very Dissatisfied", IF(Table1[[#This Row],[EmpSatisfaction]] = 2, "Dissatisfied", IF(Table1[[#This Row],[EmpSatisfaction]]  = 3, "Neutral", IF(Table1[[#This Row],[EmpSatisfaction]] = 4, "Satisfied", IF(Table1[[#This Row],[EmpSatisfaction]]=5,"Very Satisfied", " ")))))</f>
        <v>Very Satisfied</v>
      </c>
      <c r="AE276">
        <f>YEAR(Table1[[#This Row],[DateofHire]])</f>
        <v>2014</v>
      </c>
      <c r="AF276" t="s">
        <v>25</v>
      </c>
    </row>
    <row r="277" spans="1:32" x14ac:dyDescent="0.3">
      <c r="A277" t="s">
        <v>405</v>
      </c>
      <c r="B277">
        <v>10173</v>
      </c>
      <c r="C277" t="s">
        <v>455</v>
      </c>
      <c r="D277" t="s">
        <v>488</v>
      </c>
      <c r="E277">
        <v>10197</v>
      </c>
      <c r="F277" s="1">
        <v>42845</v>
      </c>
      <c r="G277" s="7">
        <v>90100</v>
      </c>
      <c r="H277" t="s">
        <v>498</v>
      </c>
      <c r="I277" s="1">
        <v>32074</v>
      </c>
      <c r="J277" t="s">
        <v>31</v>
      </c>
      <c r="K277" t="s">
        <v>23</v>
      </c>
      <c r="L277" t="s">
        <v>24</v>
      </c>
      <c r="M277" t="s">
        <v>21</v>
      </c>
      <c r="N277">
        <v>2134</v>
      </c>
      <c r="P277" t="s">
        <v>512</v>
      </c>
      <c r="Q277" t="s">
        <v>25</v>
      </c>
      <c r="R277" t="s">
        <v>35</v>
      </c>
      <c r="S277" t="s">
        <v>36</v>
      </c>
      <c r="T277">
        <v>3.4</v>
      </c>
      <c r="U277">
        <v>3</v>
      </c>
      <c r="V277" s="1">
        <v>43467</v>
      </c>
      <c r="W277">
        <v>14</v>
      </c>
      <c r="X277" t="str">
        <f>INDEX(Position!B:B,MATCH(Table1[[#This Row],[Position ID]],Position!A:A, 0 ))</f>
        <v>BI Developer</v>
      </c>
      <c r="Y277" t="str">
        <f>INDEX(Department!B:B,MATCH(Table1[[#This Row],[Department ID]],Department!A:A,0))</f>
        <v>IT/IS</v>
      </c>
      <c r="Z277" t="str">
        <f>INDEX(Manager!B:B,MATCH(Table1[[#This Row],[Manger ID]],Manager!A:A,0))</f>
        <v>Brian Champaigne</v>
      </c>
      <c r="AA277">
        <f ca="1">DATEDIF(Table1[[#This Row],[DOB]],TODAY(), "Y")</f>
        <v>36</v>
      </c>
      <c r="AB277" t="str">
        <f ca="1">IF(Table1[[#This Row],[ Age]]&lt;18,"Less than 18",IF(Table1[[#This Row],[ Age]]&lt;=29,"18-29",IF(Table1[[#This Row],[ Age]]&lt;=49,"30-49",IF(Table1[[#This Row],[ Age]]&lt;=59,"50-59","60 or more"))))</f>
        <v>30-49</v>
      </c>
      <c r="AC277" s="8">
        <f ca="1">IF(ISBLANK(Table1[[#This Row],[DateofTermination]]),DATEDIF(Table1[[#This Row],[DateofHire]],TODAY(), "M"),DATEDIF(Table1[[#This Row],[DateofHire]],Table1[[#This Row],[DateofTermination]],"M"))/12</f>
        <v>6.916666666666667</v>
      </c>
      <c r="AD277" t="str">
        <f>IF(Table1[[#This Row],[EmpSatisfaction]]=1,"Very Dissatisfied", IF(Table1[[#This Row],[EmpSatisfaction]] = 2, "Dissatisfied", IF(Table1[[#This Row],[EmpSatisfaction]]  = 3, "Neutral", IF(Table1[[#This Row],[EmpSatisfaction]] = 4, "Satisfied", IF(Table1[[#This Row],[EmpSatisfaction]]=5,"Very Satisfied", " ")))))</f>
        <v>Neutral</v>
      </c>
      <c r="AE277">
        <f>YEAR(Table1[[#This Row],[DateofHire]])</f>
        <v>2017</v>
      </c>
      <c r="AF277" t="s">
        <v>25</v>
      </c>
    </row>
    <row r="278" spans="1:32" hidden="1" x14ac:dyDescent="0.3">
      <c r="A278" t="s">
        <v>406</v>
      </c>
      <c r="B278">
        <v>10221</v>
      </c>
      <c r="C278" t="s">
        <v>474</v>
      </c>
      <c r="D278" t="s">
        <v>489</v>
      </c>
      <c r="E278">
        <v>10069</v>
      </c>
      <c r="F278" s="1">
        <v>39930</v>
      </c>
      <c r="G278" s="7">
        <v>60754</v>
      </c>
      <c r="H278" t="s">
        <v>499</v>
      </c>
      <c r="I278" s="1">
        <v>27487</v>
      </c>
      <c r="J278" t="s">
        <v>31</v>
      </c>
      <c r="K278" t="s">
        <v>131</v>
      </c>
      <c r="L278" t="s">
        <v>57</v>
      </c>
      <c r="M278" t="s">
        <v>21</v>
      </c>
      <c r="N278">
        <v>1801</v>
      </c>
      <c r="O278" s="1">
        <v>41365</v>
      </c>
      <c r="P278" t="s">
        <v>516</v>
      </c>
      <c r="Q278" t="s">
        <v>32</v>
      </c>
      <c r="R278" t="s">
        <v>59</v>
      </c>
      <c r="S278" t="s">
        <v>36</v>
      </c>
      <c r="T278">
        <v>4.5</v>
      </c>
      <c r="U278">
        <v>5</v>
      </c>
      <c r="V278" s="1">
        <v>40954</v>
      </c>
      <c r="W278">
        <v>11</v>
      </c>
      <c r="X278" t="str">
        <f>INDEX(Position!B:B,MATCH(Table1[[#This Row],[Position ID]],Position!A:A, 0 ))</f>
        <v>Production Technician I</v>
      </c>
      <c r="Y278" t="str">
        <f>INDEX(Department!B:B,MATCH(Table1[[#This Row],[Department ID]],Department!A:A,0))</f>
        <v>Production</v>
      </c>
      <c r="Z278" t="str">
        <f>INDEX(Manager!B:B,MATCH(Table1[[#This Row],[Manger ID]],Manager!A:A,0))</f>
        <v>Webster Butler</v>
      </c>
      <c r="AA278">
        <f ca="1">DATEDIF(Table1[[#This Row],[DOB]],TODAY(), "Y")</f>
        <v>49</v>
      </c>
      <c r="AB278" t="str">
        <f ca="1">IF(Table1[[#This Row],[ Age]]&lt;18,"Less than 18",IF(Table1[[#This Row],[ Age]]&lt;=29,"18-29",IF(Table1[[#This Row],[ Age]]&lt;=49,"30-49",IF(Table1[[#This Row],[ Age]]&lt;=59,"50-59","60 or more"))))</f>
        <v>30-49</v>
      </c>
      <c r="AC278" s="8">
        <f ca="1">IF(ISBLANK(Table1[[#This Row],[DateofTermination]]),DATEDIF(Table1[[#This Row],[DateofHire]],TODAY(), "M"),DATEDIF(Table1[[#This Row],[DateofHire]],Table1[[#This Row],[DateofTermination]],"M"))/12</f>
        <v>3.9166666666666665</v>
      </c>
      <c r="AD278" t="str">
        <f>IF(Table1[[#This Row],[EmpSatisfaction]]=1,"Very Dissatisfied", IF(Table1[[#This Row],[EmpSatisfaction]] = 2, "Dissatisfied", IF(Table1[[#This Row],[EmpSatisfaction]]  = 3, "Neutral", IF(Table1[[#This Row],[EmpSatisfaction]] = 4, "Satisfied", IF(Table1[[#This Row],[EmpSatisfaction]]=5,"Very Satisfied", " ")))))</f>
        <v>Very Satisfied</v>
      </c>
      <c r="AE278">
        <f>YEAR(Table1[[#This Row],[DateofHire]])</f>
        <v>2009</v>
      </c>
      <c r="AF278" t="s">
        <v>535</v>
      </c>
    </row>
    <row r="279" spans="1:32" hidden="1" x14ac:dyDescent="0.3">
      <c r="A279" t="s">
        <v>407</v>
      </c>
      <c r="B279">
        <v>10146</v>
      </c>
      <c r="C279" t="s">
        <v>475</v>
      </c>
      <c r="D279" t="s">
        <v>489</v>
      </c>
      <c r="E279">
        <v>10088</v>
      </c>
      <c r="F279" s="1">
        <v>40679</v>
      </c>
      <c r="G279" s="7">
        <v>72202</v>
      </c>
      <c r="H279" t="s">
        <v>499</v>
      </c>
      <c r="I279" s="1">
        <v>19503</v>
      </c>
      <c r="J279" t="s">
        <v>31</v>
      </c>
      <c r="K279" t="s">
        <v>23</v>
      </c>
      <c r="L279" t="s">
        <v>24</v>
      </c>
      <c r="M279" t="s">
        <v>21</v>
      </c>
      <c r="N279">
        <v>2129</v>
      </c>
      <c r="O279" s="1">
        <v>42924</v>
      </c>
      <c r="P279" t="s">
        <v>516</v>
      </c>
      <c r="Q279" t="s">
        <v>32</v>
      </c>
      <c r="R279" t="s">
        <v>45</v>
      </c>
      <c r="S279" t="s">
        <v>36</v>
      </c>
      <c r="T279">
        <v>3.93</v>
      </c>
      <c r="U279">
        <v>3</v>
      </c>
      <c r="V279" s="1">
        <v>42843</v>
      </c>
      <c r="W279">
        <v>3</v>
      </c>
      <c r="X279" t="str">
        <f>INDEX(Position!B:B,MATCH(Table1[[#This Row],[Position ID]],Position!A:A, 0 ))</f>
        <v>Production Technician II</v>
      </c>
      <c r="Y279" t="str">
        <f>INDEX(Department!B:B,MATCH(Table1[[#This Row],[Department ID]],Department!A:A,0))</f>
        <v>Production</v>
      </c>
      <c r="Z279" t="str">
        <f>INDEX(Manager!B:B,MATCH(Table1[[#This Row],[Manger ID]],Manager!A:A,0))</f>
        <v>Elijiah Gray</v>
      </c>
      <c r="AA279">
        <f ca="1">DATEDIF(Table1[[#This Row],[DOB]],TODAY(), "Y")</f>
        <v>70</v>
      </c>
      <c r="AB279" t="str">
        <f ca="1">IF(Table1[[#This Row],[ Age]]&lt;18,"Less than 18",IF(Table1[[#This Row],[ Age]]&lt;=29,"18-29",IF(Table1[[#This Row],[ Age]]&lt;=49,"30-49",IF(Table1[[#This Row],[ Age]]&lt;=59,"50-59","60 or more"))))</f>
        <v>60 or more</v>
      </c>
      <c r="AC279" s="8">
        <f ca="1">IF(ISBLANK(Table1[[#This Row],[DateofTermination]]),DATEDIF(Table1[[#This Row],[DateofHire]],TODAY(), "M"),DATEDIF(Table1[[#This Row],[DateofHire]],Table1[[#This Row],[DateofTermination]],"M"))/12</f>
        <v>6.083333333333333</v>
      </c>
      <c r="AD279" t="str">
        <f>IF(Table1[[#This Row],[EmpSatisfaction]]=1,"Very Dissatisfied", IF(Table1[[#This Row],[EmpSatisfaction]] = 2, "Dissatisfied", IF(Table1[[#This Row],[EmpSatisfaction]]  = 3, "Neutral", IF(Table1[[#This Row],[EmpSatisfaction]] = 4, "Satisfied", IF(Table1[[#This Row],[EmpSatisfaction]]=5,"Very Satisfied", " ")))))</f>
        <v>Neutral</v>
      </c>
      <c r="AE279">
        <f>YEAR(Table1[[#This Row],[DateofHire]])</f>
        <v>2011</v>
      </c>
      <c r="AF279" t="s">
        <v>535</v>
      </c>
    </row>
    <row r="280" spans="1:32" x14ac:dyDescent="0.3">
      <c r="A280" t="s">
        <v>408</v>
      </c>
      <c r="B280">
        <v>10161</v>
      </c>
      <c r="C280" t="s">
        <v>454</v>
      </c>
      <c r="D280" t="s">
        <v>490</v>
      </c>
      <c r="E280">
        <v>10200</v>
      </c>
      <c r="F280" s="1">
        <v>41911</v>
      </c>
      <c r="G280" s="7">
        <v>58370</v>
      </c>
      <c r="H280" t="s">
        <v>499</v>
      </c>
      <c r="I280" s="1">
        <v>23869</v>
      </c>
      <c r="J280" t="s">
        <v>22</v>
      </c>
      <c r="K280" t="s">
        <v>23</v>
      </c>
      <c r="L280" t="s">
        <v>57</v>
      </c>
      <c r="M280" t="s">
        <v>409</v>
      </c>
      <c r="N280">
        <v>97756</v>
      </c>
      <c r="P280" t="s">
        <v>512</v>
      </c>
      <c r="Q280" t="s">
        <v>25</v>
      </c>
      <c r="R280" t="s">
        <v>35</v>
      </c>
      <c r="S280" t="s">
        <v>36</v>
      </c>
      <c r="T280">
        <v>3.69</v>
      </c>
      <c r="U280">
        <v>3</v>
      </c>
      <c r="V280" s="1">
        <v>43493</v>
      </c>
      <c r="W280">
        <v>18</v>
      </c>
      <c r="X280" t="str">
        <f>INDEX(Position!B:B,MATCH(Table1[[#This Row],[Position ID]],Position!A:A, 0 ))</f>
        <v>Area Sales Manager</v>
      </c>
      <c r="Y280" t="str">
        <f>INDEX(Department!B:B,MATCH(Table1[[#This Row],[Department ID]],Department!A:A,0))</f>
        <v>Sales</v>
      </c>
      <c r="Z280" t="str">
        <f>INDEX(Manager!B:B,MATCH(Table1[[#This Row],[Manger ID]],Manager!A:A,0))</f>
        <v>Lynn Daneault</v>
      </c>
      <c r="AA280">
        <f ca="1">DATEDIF(Table1[[#This Row],[DOB]],TODAY(), "Y")</f>
        <v>58</v>
      </c>
      <c r="AB280" t="str">
        <f ca="1">IF(Table1[[#This Row],[ Age]]&lt;18,"Less than 18",IF(Table1[[#This Row],[ Age]]&lt;=29,"18-29",IF(Table1[[#This Row],[ Age]]&lt;=49,"30-49",IF(Table1[[#This Row],[ Age]]&lt;=59,"50-59","60 or more"))))</f>
        <v>50-59</v>
      </c>
      <c r="AC280" s="8">
        <f ca="1">IF(ISBLANK(Table1[[#This Row],[DateofTermination]]),DATEDIF(Table1[[#This Row],[DateofHire]],TODAY(), "M"),DATEDIF(Table1[[#This Row],[DateofHire]],Table1[[#This Row],[DateofTermination]],"M"))/12</f>
        <v>9.5</v>
      </c>
      <c r="AD280" t="str">
        <f>IF(Table1[[#This Row],[EmpSatisfaction]]=1,"Very Dissatisfied", IF(Table1[[#This Row],[EmpSatisfaction]] = 2, "Dissatisfied", IF(Table1[[#This Row],[EmpSatisfaction]]  = 3, "Neutral", IF(Table1[[#This Row],[EmpSatisfaction]] = 4, "Satisfied", IF(Table1[[#This Row],[EmpSatisfaction]]=5,"Very Satisfied", " ")))))</f>
        <v>Neutral</v>
      </c>
      <c r="AE280">
        <f>YEAR(Table1[[#This Row],[DateofHire]])</f>
        <v>2014</v>
      </c>
      <c r="AF280" t="s">
        <v>25</v>
      </c>
    </row>
    <row r="281" spans="1:32" hidden="1" x14ac:dyDescent="0.3">
      <c r="A281" t="s">
        <v>410</v>
      </c>
      <c r="B281">
        <v>10141</v>
      </c>
      <c r="C281" t="s">
        <v>474</v>
      </c>
      <c r="D281" t="s">
        <v>489</v>
      </c>
      <c r="E281">
        <v>10002</v>
      </c>
      <c r="F281" s="1">
        <v>40729</v>
      </c>
      <c r="G281" s="7">
        <v>48413</v>
      </c>
      <c r="H281" t="s">
        <v>499</v>
      </c>
      <c r="I281" s="1">
        <v>23871</v>
      </c>
      <c r="J281" t="s">
        <v>22</v>
      </c>
      <c r="K281" t="s">
        <v>23</v>
      </c>
      <c r="L281" t="s">
        <v>24</v>
      </c>
      <c r="M281" t="s">
        <v>21</v>
      </c>
      <c r="N281">
        <v>2066</v>
      </c>
      <c r="O281" s="1">
        <v>42618</v>
      </c>
      <c r="P281" t="s">
        <v>515</v>
      </c>
      <c r="Q281" t="s">
        <v>32</v>
      </c>
      <c r="R281" t="s">
        <v>35</v>
      </c>
      <c r="S281" t="s">
        <v>36</v>
      </c>
      <c r="T281">
        <v>3.98</v>
      </c>
      <c r="U281">
        <v>4</v>
      </c>
      <c r="V281" s="1">
        <v>42431</v>
      </c>
      <c r="W281">
        <v>1</v>
      </c>
      <c r="X281" t="str">
        <f>INDEX(Position!B:B,MATCH(Table1[[#This Row],[Position ID]],Position!A:A, 0 ))</f>
        <v>Production Technician I</v>
      </c>
      <c r="Y281" t="str">
        <f>INDEX(Department!B:B,MATCH(Table1[[#This Row],[Department ID]],Department!A:A,0))</f>
        <v>Production</v>
      </c>
      <c r="Z281" t="str">
        <f>INDEX(Manager!B:B,MATCH(Table1[[#This Row],[Manger ID]],Manager!A:A,0))</f>
        <v>Amy Dunn</v>
      </c>
      <c r="AA281">
        <f ca="1">DATEDIF(Table1[[#This Row],[DOB]],TODAY(), "Y")</f>
        <v>58</v>
      </c>
      <c r="AB281" t="str">
        <f ca="1">IF(Table1[[#This Row],[ Age]]&lt;18,"Less than 18",IF(Table1[[#This Row],[ Age]]&lt;=29,"18-29",IF(Table1[[#This Row],[ Age]]&lt;=49,"30-49",IF(Table1[[#This Row],[ Age]]&lt;=59,"50-59","60 or more"))))</f>
        <v>50-59</v>
      </c>
      <c r="AC281" s="8">
        <f ca="1">IF(ISBLANK(Table1[[#This Row],[DateofTermination]]),DATEDIF(Table1[[#This Row],[DateofHire]],TODAY(), "M"),DATEDIF(Table1[[#This Row],[DateofHire]],Table1[[#This Row],[DateofTermination]],"M"))/12</f>
        <v>5.166666666666667</v>
      </c>
      <c r="AD281" t="str">
        <f>IF(Table1[[#This Row],[EmpSatisfaction]]=1,"Very Dissatisfied", IF(Table1[[#This Row],[EmpSatisfaction]] = 2, "Dissatisfied", IF(Table1[[#This Row],[EmpSatisfaction]]  = 3, "Neutral", IF(Table1[[#This Row],[EmpSatisfaction]] = 4, "Satisfied", IF(Table1[[#This Row],[EmpSatisfaction]]=5,"Very Satisfied", " ")))))</f>
        <v>Satisfied</v>
      </c>
      <c r="AE281">
        <f>YEAR(Table1[[#This Row],[DateofHire]])</f>
        <v>2011</v>
      </c>
      <c r="AF281" t="s">
        <v>535</v>
      </c>
    </row>
    <row r="282" spans="1:32" hidden="1" x14ac:dyDescent="0.3">
      <c r="A282" t="s">
        <v>411</v>
      </c>
      <c r="B282">
        <v>10268</v>
      </c>
      <c r="C282" t="s">
        <v>475</v>
      </c>
      <c r="D282" t="s">
        <v>489</v>
      </c>
      <c r="E282">
        <v>10069</v>
      </c>
      <c r="F282" s="1">
        <v>39258</v>
      </c>
      <c r="G282" s="7">
        <v>67176</v>
      </c>
      <c r="H282" t="s">
        <v>498</v>
      </c>
      <c r="I282" s="1">
        <v>27653</v>
      </c>
      <c r="J282" t="s">
        <v>53</v>
      </c>
      <c r="K282" t="s">
        <v>23</v>
      </c>
      <c r="L282" t="s">
        <v>24</v>
      </c>
      <c r="M282" t="s">
        <v>21</v>
      </c>
      <c r="N282">
        <v>2472</v>
      </c>
      <c r="O282" s="1">
        <v>40420</v>
      </c>
      <c r="P282" t="s">
        <v>524</v>
      </c>
      <c r="Q282" t="s">
        <v>32</v>
      </c>
      <c r="R282" t="s">
        <v>198</v>
      </c>
      <c r="S282" t="s">
        <v>36</v>
      </c>
      <c r="T282">
        <v>4.0999999999999996</v>
      </c>
      <c r="U282">
        <v>4</v>
      </c>
      <c r="V282" s="1">
        <v>40373</v>
      </c>
      <c r="W282">
        <v>15</v>
      </c>
      <c r="X282" t="str">
        <f>INDEX(Position!B:B,MATCH(Table1[[#This Row],[Position ID]],Position!A:A, 0 ))</f>
        <v>Production Technician II</v>
      </c>
      <c r="Y282" t="str">
        <f>INDEX(Department!B:B,MATCH(Table1[[#This Row],[Department ID]],Department!A:A,0))</f>
        <v>Production</v>
      </c>
      <c r="Z282" t="str">
        <f>INDEX(Manager!B:B,MATCH(Table1[[#This Row],[Manger ID]],Manager!A:A,0))</f>
        <v>Webster Butler</v>
      </c>
      <c r="AA282">
        <f ca="1">DATEDIF(Table1[[#This Row],[DOB]],TODAY(), "Y")</f>
        <v>48</v>
      </c>
      <c r="AB282" t="str">
        <f ca="1">IF(Table1[[#This Row],[ Age]]&lt;18,"Less than 18",IF(Table1[[#This Row],[ Age]]&lt;=29,"18-29",IF(Table1[[#This Row],[ Age]]&lt;=49,"30-49",IF(Table1[[#This Row],[ Age]]&lt;=59,"50-59","60 or more"))))</f>
        <v>30-49</v>
      </c>
      <c r="AC282" s="8">
        <f ca="1">IF(ISBLANK(Table1[[#This Row],[DateofTermination]]),DATEDIF(Table1[[#This Row],[DateofHire]],TODAY(), "M"),DATEDIF(Table1[[#This Row],[DateofHire]],Table1[[#This Row],[DateofTermination]],"M"))/12</f>
        <v>3.1666666666666665</v>
      </c>
      <c r="AD282" t="str">
        <f>IF(Table1[[#This Row],[EmpSatisfaction]]=1,"Very Dissatisfied", IF(Table1[[#This Row],[EmpSatisfaction]] = 2, "Dissatisfied", IF(Table1[[#This Row],[EmpSatisfaction]]  = 3, "Neutral", IF(Table1[[#This Row],[EmpSatisfaction]] = 4, "Satisfied", IF(Table1[[#This Row],[EmpSatisfaction]]=5,"Very Satisfied", " ")))))</f>
        <v>Satisfied</v>
      </c>
      <c r="AE282">
        <f>YEAR(Table1[[#This Row],[DateofHire]])</f>
        <v>2007</v>
      </c>
      <c r="AF282" t="s">
        <v>535</v>
      </c>
    </row>
    <row r="283" spans="1:32" x14ac:dyDescent="0.3">
      <c r="A283" t="s">
        <v>412</v>
      </c>
      <c r="B283">
        <v>10123</v>
      </c>
      <c r="C283" t="s">
        <v>474</v>
      </c>
      <c r="D283" t="s">
        <v>489</v>
      </c>
      <c r="E283">
        <v>10114</v>
      </c>
      <c r="F283" s="1">
        <v>41323</v>
      </c>
      <c r="G283" s="7">
        <v>56339</v>
      </c>
      <c r="H283" t="s">
        <v>499</v>
      </c>
      <c r="I283" s="1">
        <v>24628</v>
      </c>
      <c r="J283" t="s">
        <v>43</v>
      </c>
      <c r="K283" t="s">
        <v>23</v>
      </c>
      <c r="L283" t="s">
        <v>57</v>
      </c>
      <c r="M283" t="s">
        <v>21</v>
      </c>
      <c r="N283">
        <v>2093</v>
      </c>
      <c r="P283" t="s">
        <v>512</v>
      </c>
      <c r="Q283" t="s">
        <v>25</v>
      </c>
      <c r="R283" t="s">
        <v>35</v>
      </c>
      <c r="S283" t="s">
        <v>36</v>
      </c>
      <c r="T283">
        <v>4.21</v>
      </c>
      <c r="U283">
        <v>5</v>
      </c>
      <c r="V283" s="1">
        <v>43479</v>
      </c>
      <c r="W283">
        <v>4</v>
      </c>
      <c r="X283" t="str">
        <f>INDEX(Position!B:B,MATCH(Table1[[#This Row],[Position ID]],Position!A:A, 0 ))</f>
        <v>Production Technician I</v>
      </c>
      <c r="Y283" t="str">
        <f>INDEX(Department!B:B,MATCH(Table1[[#This Row],[Department ID]],Department!A:A,0))</f>
        <v>Production</v>
      </c>
      <c r="Z283" t="str">
        <f>INDEX(Manager!B:B,MATCH(Table1[[#This Row],[Manger ID]],Manager!A:A,0))</f>
        <v>Brannon Miller</v>
      </c>
      <c r="AA283">
        <f ca="1">DATEDIF(Table1[[#This Row],[DOB]],TODAY(), "Y")</f>
        <v>56</v>
      </c>
      <c r="AB283" t="str">
        <f ca="1">IF(Table1[[#This Row],[ Age]]&lt;18,"Less than 18",IF(Table1[[#This Row],[ Age]]&lt;=29,"18-29",IF(Table1[[#This Row],[ Age]]&lt;=49,"30-49",IF(Table1[[#This Row],[ Age]]&lt;=59,"50-59","60 or more"))))</f>
        <v>50-59</v>
      </c>
      <c r="AC283" s="8">
        <f ca="1">IF(ISBLANK(Table1[[#This Row],[DateofTermination]]),DATEDIF(Table1[[#This Row],[DateofHire]],TODAY(), "M"),DATEDIF(Table1[[#This Row],[DateofHire]],Table1[[#This Row],[DateofTermination]],"M"))/12</f>
        <v>11.083333333333334</v>
      </c>
      <c r="AD283" t="str">
        <f>IF(Table1[[#This Row],[EmpSatisfaction]]=1,"Very Dissatisfied", IF(Table1[[#This Row],[EmpSatisfaction]] = 2, "Dissatisfied", IF(Table1[[#This Row],[EmpSatisfaction]]  = 3, "Neutral", IF(Table1[[#This Row],[EmpSatisfaction]] = 4, "Satisfied", IF(Table1[[#This Row],[EmpSatisfaction]]=5,"Very Satisfied", " ")))))</f>
        <v>Very Satisfied</v>
      </c>
      <c r="AE283">
        <f>YEAR(Table1[[#This Row],[DateofHire]])</f>
        <v>2013</v>
      </c>
      <c r="AF283" t="s">
        <v>25</v>
      </c>
    </row>
    <row r="284" spans="1:32" x14ac:dyDescent="0.3">
      <c r="A284" t="s">
        <v>413</v>
      </c>
      <c r="B284">
        <v>10013</v>
      </c>
      <c r="C284" t="s">
        <v>454</v>
      </c>
      <c r="D284" t="s">
        <v>490</v>
      </c>
      <c r="E284">
        <v>10200</v>
      </c>
      <c r="F284" s="1">
        <v>38726</v>
      </c>
      <c r="G284" s="7">
        <v>64397</v>
      </c>
      <c r="H284" t="s">
        <v>498</v>
      </c>
      <c r="I284" s="1">
        <v>24852</v>
      </c>
      <c r="J284" t="s">
        <v>105</v>
      </c>
      <c r="K284" t="s">
        <v>23</v>
      </c>
      <c r="L284" t="s">
        <v>24</v>
      </c>
      <c r="M284" t="s">
        <v>414</v>
      </c>
      <c r="N284">
        <v>58782</v>
      </c>
      <c r="P284" t="s">
        <v>512</v>
      </c>
      <c r="Q284" t="s">
        <v>25</v>
      </c>
      <c r="R284" t="s">
        <v>35</v>
      </c>
      <c r="S284" t="s">
        <v>28</v>
      </c>
      <c r="T284">
        <v>4.0999999999999996</v>
      </c>
      <c r="U284">
        <v>3</v>
      </c>
      <c r="V284" s="1">
        <v>43469</v>
      </c>
      <c r="W284">
        <v>6</v>
      </c>
      <c r="X284" t="str">
        <f>INDEX(Position!B:B,MATCH(Table1[[#This Row],[Position ID]],Position!A:A, 0 ))</f>
        <v>Area Sales Manager</v>
      </c>
      <c r="Y284" t="str">
        <f>INDEX(Department!B:B,MATCH(Table1[[#This Row],[Department ID]],Department!A:A,0))</f>
        <v>Sales</v>
      </c>
      <c r="Z284" t="str">
        <f>INDEX(Manager!B:B,MATCH(Table1[[#This Row],[Manger ID]],Manager!A:A,0))</f>
        <v>Lynn Daneault</v>
      </c>
      <c r="AA284">
        <f ca="1">DATEDIF(Table1[[#This Row],[DOB]],TODAY(), "Y")</f>
        <v>56</v>
      </c>
      <c r="AB284" t="str">
        <f ca="1">IF(Table1[[#This Row],[ Age]]&lt;18,"Less than 18",IF(Table1[[#This Row],[ Age]]&lt;=29,"18-29",IF(Table1[[#This Row],[ Age]]&lt;=49,"30-49",IF(Table1[[#This Row],[ Age]]&lt;=59,"50-59","60 or more"))))</f>
        <v>50-59</v>
      </c>
      <c r="AC284" s="8">
        <f ca="1">IF(ISBLANK(Table1[[#This Row],[DateofTermination]]),DATEDIF(Table1[[#This Row],[DateofHire]],TODAY(), "M"),DATEDIF(Table1[[#This Row],[DateofHire]],Table1[[#This Row],[DateofTermination]],"M"))/12</f>
        <v>18.25</v>
      </c>
      <c r="AD284" t="str">
        <f>IF(Table1[[#This Row],[EmpSatisfaction]]=1,"Very Dissatisfied", IF(Table1[[#This Row],[EmpSatisfaction]] = 2, "Dissatisfied", IF(Table1[[#This Row],[EmpSatisfaction]]  = 3, "Neutral", IF(Table1[[#This Row],[EmpSatisfaction]] = 4, "Satisfied", IF(Table1[[#This Row],[EmpSatisfaction]]=5,"Very Satisfied", " ")))))</f>
        <v>Neutral</v>
      </c>
      <c r="AE284">
        <f>YEAR(Table1[[#This Row],[DateofHire]])</f>
        <v>2006</v>
      </c>
      <c r="AF284" t="s">
        <v>25</v>
      </c>
    </row>
    <row r="285" spans="1:32" x14ac:dyDescent="0.3">
      <c r="A285" t="s">
        <v>415</v>
      </c>
      <c r="B285">
        <v>10287</v>
      </c>
      <c r="C285" t="s">
        <v>474</v>
      </c>
      <c r="D285" t="s">
        <v>489</v>
      </c>
      <c r="E285">
        <v>10252</v>
      </c>
      <c r="F285" s="1">
        <v>41687</v>
      </c>
      <c r="G285" s="7">
        <v>63025</v>
      </c>
      <c r="H285" t="s">
        <v>499</v>
      </c>
      <c r="I285" s="1">
        <v>30452</v>
      </c>
      <c r="J285" t="s">
        <v>22</v>
      </c>
      <c r="K285" t="s">
        <v>23</v>
      </c>
      <c r="L285" t="s">
        <v>24</v>
      </c>
      <c r="M285" t="s">
        <v>21</v>
      </c>
      <c r="N285">
        <v>2021</v>
      </c>
      <c r="P285" t="s">
        <v>512</v>
      </c>
      <c r="Q285" t="s">
        <v>25</v>
      </c>
      <c r="R285" t="s">
        <v>27</v>
      </c>
      <c r="S285" t="s">
        <v>88</v>
      </c>
      <c r="T285">
        <v>2.44</v>
      </c>
      <c r="U285">
        <v>5</v>
      </c>
      <c r="V285" s="1">
        <v>43507</v>
      </c>
      <c r="W285">
        <v>18</v>
      </c>
      <c r="X285" t="str">
        <f>INDEX(Position!B:B,MATCH(Table1[[#This Row],[Position ID]],Position!A:A, 0 ))</f>
        <v>Production Technician I</v>
      </c>
      <c r="Y285" t="str">
        <f>INDEX(Department!B:B,MATCH(Table1[[#This Row],[Department ID]],Department!A:A,0))</f>
        <v>Production</v>
      </c>
      <c r="Z285" t="str">
        <f>INDEX(Manager!B:B,MATCH(Table1[[#This Row],[Manger ID]],Manager!A:A,0))</f>
        <v>David Stanley</v>
      </c>
      <c r="AA285">
        <f ca="1">DATEDIF(Table1[[#This Row],[DOB]],TODAY(), "Y")</f>
        <v>40</v>
      </c>
      <c r="AB285" t="str">
        <f ca="1">IF(Table1[[#This Row],[ Age]]&lt;18,"Less than 18",IF(Table1[[#This Row],[ Age]]&lt;=29,"18-29",IF(Table1[[#This Row],[ Age]]&lt;=49,"30-49",IF(Table1[[#This Row],[ Age]]&lt;=59,"50-59","60 or more"))))</f>
        <v>30-49</v>
      </c>
      <c r="AC285" s="8">
        <f ca="1">IF(ISBLANK(Table1[[#This Row],[DateofTermination]]),DATEDIF(Table1[[#This Row],[DateofHire]],TODAY(), "M"),DATEDIF(Table1[[#This Row],[DateofHire]],Table1[[#This Row],[DateofTermination]],"M"))/12</f>
        <v>10.083333333333334</v>
      </c>
      <c r="AD285" t="str">
        <f>IF(Table1[[#This Row],[EmpSatisfaction]]=1,"Very Dissatisfied", IF(Table1[[#This Row],[EmpSatisfaction]] = 2, "Dissatisfied", IF(Table1[[#This Row],[EmpSatisfaction]]  = 3, "Neutral", IF(Table1[[#This Row],[EmpSatisfaction]] = 4, "Satisfied", IF(Table1[[#This Row],[EmpSatisfaction]]=5,"Very Satisfied", " ")))))</f>
        <v>Very Satisfied</v>
      </c>
      <c r="AE285">
        <f>YEAR(Table1[[#This Row],[DateofHire]])</f>
        <v>2014</v>
      </c>
      <c r="AF285" t="s">
        <v>25</v>
      </c>
    </row>
    <row r="286" spans="1:32" hidden="1" x14ac:dyDescent="0.3">
      <c r="A286" t="s">
        <v>416</v>
      </c>
      <c r="B286">
        <v>10044</v>
      </c>
      <c r="C286" t="s">
        <v>470</v>
      </c>
      <c r="D286" t="s">
        <v>488</v>
      </c>
      <c r="E286">
        <v>10250</v>
      </c>
      <c r="F286" s="1">
        <v>42009</v>
      </c>
      <c r="G286" s="7">
        <v>75281</v>
      </c>
      <c r="H286" t="s">
        <v>498</v>
      </c>
      <c r="I286" s="1">
        <v>32268</v>
      </c>
      <c r="J286" t="s">
        <v>31</v>
      </c>
      <c r="K286" t="s">
        <v>23</v>
      </c>
      <c r="L286" t="s">
        <v>24</v>
      </c>
      <c r="M286" t="s">
        <v>21</v>
      </c>
      <c r="N286">
        <v>1420</v>
      </c>
      <c r="O286" s="1">
        <v>42412</v>
      </c>
      <c r="P286" t="s">
        <v>528</v>
      </c>
      <c r="Q286" t="s">
        <v>32</v>
      </c>
      <c r="R286" t="s">
        <v>87</v>
      </c>
      <c r="S286" t="s">
        <v>36</v>
      </c>
      <c r="T286">
        <v>5</v>
      </c>
      <c r="U286">
        <v>3</v>
      </c>
      <c r="V286" s="1">
        <v>42109</v>
      </c>
      <c r="W286">
        <v>11</v>
      </c>
      <c r="X286" t="str">
        <f>INDEX(Position!B:B,MATCH(Table1[[#This Row],[Position ID]],Position!A:A, 0 ))</f>
        <v>Network Engineer</v>
      </c>
      <c r="Y286" t="str">
        <f>INDEX(Department!B:B,MATCH(Table1[[#This Row],[Department ID]],Department!A:A,0))</f>
        <v>IT/IS</v>
      </c>
      <c r="Z286" t="str">
        <f>INDEX(Manager!B:B,MATCH(Table1[[#This Row],[Manger ID]],Manager!A:A,0))</f>
        <v>Peter Monroe</v>
      </c>
      <c r="AA286">
        <f ca="1">DATEDIF(Table1[[#This Row],[DOB]],TODAY(), "Y")</f>
        <v>35</v>
      </c>
      <c r="AB286" t="str">
        <f ca="1">IF(Table1[[#This Row],[ Age]]&lt;18,"Less than 18",IF(Table1[[#This Row],[ Age]]&lt;=29,"18-29",IF(Table1[[#This Row],[ Age]]&lt;=49,"30-49",IF(Table1[[#This Row],[ Age]]&lt;=59,"50-59","60 or more"))))</f>
        <v>30-49</v>
      </c>
      <c r="AC286" s="8">
        <f ca="1">IF(ISBLANK(Table1[[#This Row],[DateofTermination]]),DATEDIF(Table1[[#This Row],[DateofHire]],TODAY(), "M"),DATEDIF(Table1[[#This Row],[DateofHire]],Table1[[#This Row],[DateofTermination]],"M"))/12</f>
        <v>1.0833333333333333</v>
      </c>
      <c r="AD286" t="str">
        <f>IF(Table1[[#This Row],[EmpSatisfaction]]=1,"Very Dissatisfied", IF(Table1[[#This Row],[EmpSatisfaction]] = 2, "Dissatisfied", IF(Table1[[#This Row],[EmpSatisfaction]]  = 3, "Neutral", IF(Table1[[#This Row],[EmpSatisfaction]] = 4, "Satisfied", IF(Table1[[#This Row],[EmpSatisfaction]]=5,"Very Satisfied", " ")))))</f>
        <v>Neutral</v>
      </c>
      <c r="AE286">
        <f>YEAR(Table1[[#This Row],[DateofHire]])</f>
        <v>2015</v>
      </c>
      <c r="AF286" t="s">
        <v>535</v>
      </c>
    </row>
    <row r="287" spans="1:32" hidden="1" x14ac:dyDescent="0.3">
      <c r="A287" t="s">
        <v>417</v>
      </c>
      <c r="B287">
        <v>10102</v>
      </c>
      <c r="C287" t="s">
        <v>479</v>
      </c>
      <c r="D287" t="s">
        <v>491</v>
      </c>
      <c r="E287">
        <v>10194</v>
      </c>
      <c r="F287" s="1">
        <v>41323</v>
      </c>
      <c r="G287" s="7">
        <v>100416</v>
      </c>
      <c r="H287" t="s">
        <v>498</v>
      </c>
      <c r="I287" s="1">
        <v>30481</v>
      </c>
      <c r="J287" t="s">
        <v>22</v>
      </c>
      <c r="K287" t="s">
        <v>131</v>
      </c>
      <c r="L287" t="s">
        <v>57</v>
      </c>
      <c r="M287" t="s">
        <v>21</v>
      </c>
      <c r="N287">
        <v>2451</v>
      </c>
      <c r="O287" s="1">
        <v>43205</v>
      </c>
      <c r="P287" t="s">
        <v>528</v>
      </c>
      <c r="Q287" t="s">
        <v>32</v>
      </c>
      <c r="R287" t="s">
        <v>59</v>
      </c>
      <c r="S287" t="s">
        <v>36</v>
      </c>
      <c r="T287">
        <v>4.5999999999999996</v>
      </c>
      <c r="U287">
        <v>3</v>
      </c>
      <c r="V287" s="1">
        <v>42778</v>
      </c>
      <c r="W287">
        <v>9</v>
      </c>
      <c r="X287" t="str">
        <f>INDEX(Position!B:B,MATCH(Table1[[#This Row],[Position ID]],Position!A:A, 0 ))</f>
        <v>Software Engineer</v>
      </c>
      <c r="Y287" t="str">
        <f>INDEX(Department!B:B,MATCH(Table1[[#This Row],[Department ID]],Department!A:A,0))</f>
        <v>Software Engineering</v>
      </c>
      <c r="Z287" t="str">
        <f>INDEX(Manager!B:B,MATCH(Table1[[#This Row],[Manger ID]],Manager!A:A,0))</f>
        <v>Alex Sweetwater</v>
      </c>
      <c r="AA287">
        <f ca="1">DATEDIF(Table1[[#This Row],[DOB]],TODAY(), "Y")</f>
        <v>40</v>
      </c>
      <c r="AB287" t="str">
        <f ca="1">IF(Table1[[#This Row],[ Age]]&lt;18,"Less than 18",IF(Table1[[#This Row],[ Age]]&lt;=29,"18-29",IF(Table1[[#This Row],[ Age]]&lt;=49,"30-49",IF(Table1[[#This Row],[ Age]]&lt;=59,"50-59","60 or more"))))</f>
        <v>30-49</v>
      </c>
      <c r="AC287" s="8">
        <f ca="1">IF(ISBLANK(Table1[[#This Row],[DateofTermination]]),DATEDIF(Table1[[#This Row],[DateofHire]],TODAY(), "M"),DATEDIF(Table1[[#This Row],[DateofHire]],Table1[[#This Row],[DateofTermination]],"M"))/12</f>
        <v>5.083333333333333</v>
      </c>
      <c r="AD287" t="str">
        <f>IF(Table1[[#This Row],[EmpSatisfaction]]=1,"Very Dissatisfied", IF(Table1[[#This Row],[EmpSatisfaction]] = 2, "Dissatisfied", IF(Table1[[#This Row],[EmpSatisfaction]]  = 3, "Neutral", IF(Table1[[#This Row],[EmpSatisfaction]] = 4, "Satisfied", IF(Table1[[#This Row],[EmpSatisfaction]]=5,"Very Satisfied", " ")))))</f>
        <v>Neutral</v>
      </c>
      <c r="AE287">
        <f>YEAR(Table1[[#This Row],[DateofHire]])</f>
        <v>2013</v>
      </c>
      <c r="AF287" t="s">
        <v>535</v>
      </c>
    </row>
    <row r="288" spans="1:32" hidden="1" x14ac:dyDescent="0.3">
      <c r="A288" t="s">
        <v>418</v>
      </c>
      <c r="B288">
        <v>10270</v>
      </c>
      <c r="C288" t="s">
        <v>475</v>
      </c>
      <c r="D288" t="s">
        <v>489</v>
      </c>
      <c r="E288">
        <v>10002</v>
      </c>
      <c r="F288" s="1">
        <v>40553</v>
      </c>
      <c r="G288" s="7">
        <v>74813</v>
      </c>
      <c r="H288" t="s">
        <v>499</v>
      </c>
      <c r="I288" s="1">
        <v>31121</v>
      </c>
      <c r="J288" t="s">
        <v>22</v>
      </c>
      <c r="K288" t="s">
        <v>23</v>
      </c>
      <c r="L288" t="s">
        <v>24</v>
      </c>
      <c r="M288" t="s">
        <v>21</v>
      </c>
      <c r="N288">
        <v>1778</v>
      </c>
      <c r="O288" s="1">
        <v>41822</v>
      </c>
      <c r="P288" t="s">
        <v>517</v>
      </c>
      <c r="Q288" t="s">
        <v>32</v>
      </c>
      <c r="R288" t="s">
        <v>27</v>
      </c>
      <c r="S288" t="s">
        <v>36</v>
      </c>
      <c r="T288">
        <v>4.4000000000000004</v>
      </c>
      <c r="U288">
        <v>3</v>
      </c>
      <c r="V288" s="1">
        <v>41644</v>
      </c>
      <c r="W288">
        <v>5</v>
      </c>
      <c r="X288" t="str">
        <f>INDEX(Position!B:B,MATCH(Table1[[#This Row],[Position ID]],Position!A:A, 0 ))</f>
        <v>Production Technician II</v>
      </c>
      <c r="Y288" t="str">
        <f>INDEX(Department!B:B,MATCH(Table1[[#This Row],[Department ID]],Department!A:A,0))</f>
        <v>Production</v>
      </c>
      <c r="Z288" t="str">
        <f>INDEX(Manager!B:B,MATCH(Table1[[#This Row],[Manger ID]],Manager!A:A,0))</f>
        <v>Amy Dunn</v>
      </c>
      <c r="AA288">
        <f ca="1">DATEDIF(Table1[[#This Row],[DOB]],TODAY(), "Y")</f>
        <v>39</v>
      </c>
      <c r="AB288" t="str">
        <f ca="1">IF(Table1[[#This Row],[ Age]]&lt;18,"Less than 18",IF(Table1[[#This Row],[ Age]]&lt;=29,"18-29",IF(Table1[[#This Row],[ Age]]&lt;=49,"30-49",IF(Table1[[#This Row],[ Age]]&lt;=59,"50-59","60 or more"))))</f>
        <v>30-49</v>
      </c>
      <c r="AC288" s="8">
        <f ca="1">IF(ISBLANK(Table1[[#This Row],[DateofTermination]]),DATEDIF(Table1[[#This Row],[DateofHire]],TODAY(), "M"),DATEDIF(Table1[[#This Row],[DateofHire]],Table1[[#This Row],[DateofTermination]],"M"))/12</f>
        <v>3.4166666666666665</v>
      </c>
      <c r="AD288" t="str">
        <f>IF(Table1[[#This Row],[EmpSatisfaction]]=1,"Very Dissatisfied", IF(Table1[[#This Row],[EmpSatisfaction]] = 2, "Dissatisfied", IF(Table1[[#This Row],[EmpSatisfaction]]  = 3, "Neutral", IF(Table1[[#This Row],[EmpSatisfaction]] = 4, "Satisfied", IF(Table1[[#This Row],[EmpSatisfaction]]=5,"Very Satisfied", " ")))))</f>
        <v>Neutral</v>
      </c>
      <c r="AE288">
        <f>YEAR(Table1[[#This Row],[DateofHire]])</f>
        <v>2011</v>
      </c>
      <c r="AF288" t="s">
        <v>535</v>
      </c>
    </row>
    <row r="289" spans="1:32" x14ac:dyDescent="0.3">
      <c r="A289" t="s">
        <v>419</v>
      </c>
      <c r="B289">
        <v>10045</v>
      </c>
      <c r="C289" t="s">
        <v>470</v>
      </c>
      <c r="D289" t="s">
        <v>488</v>
      </c>
      <c r="E289">
        <v>10250</v>
      </c>
      <c r="F289" s="1">
        <v>42093</v>
      </c>
      <c r="G289" s="7">
        <v>76029</v>
      </c>
      <c r="H289" t="s">
        <v>498</v>
      </c>
      <c r="I289" s="1">
        <v>25293</v>
      </c>
      <c r="J289" t="s">
        <v>31</v>
      </c>
      <c r="K289" t="s">
        <v>78</v>
      </c>
      <c r="L289" t="s">
        <v>24</v>
      </c>
      <c r="M289" t="s">
        <v>21</v>
      </c>
      <c r="N289">
        <v>2343</v>
      </c>
      <c r="P289" t="s">
        <v>512</v>
      </c>
      <c r="Q289" t="s">
        <v>25</v>
      </c>
      <c r="R289" t="s">
        <v>55</v>
      </c>
      <c r="S289" t="s">
        <v>36</v>
      </c>
      <c r="T289">
        <v>5</v>
      </c>
      <c r="U289">
        <v>4</v>
      </c>
      <c r="V289" s="1">
        <v>43479</v>
      </c>
      <c r="W289">
        <v>8</v>
      </c>
      <c r="X289" t="str">
        <f>INDEX(Position!B:B,MATCH(Table1[[#This Row],[Position ID]],Position!A:A, 0 ))</f>
        <v>Network Engineer</v>
      </c>
      <c r="Y289" t="str">
        <f>INDEX(Department!B:B,MATCH(Table1[[#This Row],[Department ID]],Department!A:A,0))</f>
        <v>IT/IS</v>
      </c>
      <c r="Z289" t="str">
        <f>INDEX(Manager!B:B,MATCH(Table1[[#This Row],[Manger ID]],Manager!A:A,0))</f>
        <v>Peter Monroe</v>
      </c>
      <c r="AA289">
        <f ca="1">DATEDIF(Table1[[#This Row],[DOB]],TODAY(), "Y")</f>
        <v>55</v>
      </c>
      <c r="AB289" t="str">
        <f ca="1">IF(Table1[[#This Row],[ Age]]&lt;18,"Less than 18",IF(Table1[[#This Row],[ Age]]&lt;=29,"18-29",IF(Table1[[#This Row],[ Age]]&lt;=49,"30-49",IF(Table1[[#This Row],[ Age]]&lt;=59,"50-59","60 or more"))))</f>
        <v>50-59</v>
      </c>
      <c r="AC289" s="8">
        <f ca="1">IF(ISBLANK(Table1[[#This Row],[DateofTermination]]),DATEDIF(Table1[[#This Row],[DateofHire]],TODAY(), "M"),DATEDIF(Table1[[#This Row],[DateofHire]],Table1[[#This Row],[DateofTermination]],"M"))/12</f>
        <v>9</v>
      </c>
      <c r="AD289" t="str">
        <f>IF(Table1[[#This Row],[EmpSatisfaction]]=1,"Very Dissatisfied", IF(Table1[[#This Row],[EmpSatisfaction]] = 2, "Dissatisfied", IF(Table1[[#This Row],[EmpSatisfaction]]  = 3, "Neutral", IF(Table1[[#This Row],[EmpSatisfaction]] = 4, "Satisfied", IF(Table1[[#This Row],[EmpSatisfaction]]=5,"Very Satisfied", " ")))))</f>
        <v>Satisfied</v>
      </c>
      <c r="AE289">
        <f>YEAR(Table1[[#This Row],[DateofHire]])</f>
        <v>2015</v>
      </c>
      <c r="AF289" t="s">
        <v>25</v>
      </c>
    </row>
    <row r="290" spans="1:32" x14ac:dyDescent="0.3">
      <c r="A290" t="s">
        <v>420</v>
      </c>
      <c r="B290">
        <v>10205</v>
      </c>
      <c r="C290" t="s">
        <v>454</v>
      </c>
      <c r="D290" t="s">
        <v>490</v>
      </c>
      <c r="E290">
        <v>10188</v>
      </c>
      <c r="F290" s="1">
        <v>40729</v>
      </c>
      <c r="G290" s="7">
        <v>57859</v>
      </c>
      <c r="H290" t="s">
        <v>499</v>
      </c>
      <c r="I290" s="1">
        <v>33381</v>
      </c>
      <c r="J290" t="s">
        <v>31</v>
      </c>
      <c r="K290" t="s">
        <v>23</v>
      </c>
      <c r="L290" t="s">
        <v>70</v>
      </c>
      <c r="M290" t="s">
        <v>421</v>
      </c>
      <c r="N290">
        <v>85006</v>
      </c>
      <c r="P290" t="s">
        <v>512</v>
      </c>
      <c r="Q290" t="s">
        <v>25</v>
      </c>
      <c r="R290" t="s">
        <v>35</v>
      </c>
      <c r="S290" t="s">
        <v>36</v>
      </c>
      <c r="T290">
        <v>2.81</v>
      </c>
      <c r="U290">
        <v>3</v>
      </c>
      <c r="V290" s="1">
        <v>43482</v>
      </c>
      <c r="W290">
        <v>16</v>
      </c>
      <c r="X290" t="str">
        <f>INDEX(Position!B:B,MATCH(Table1[[#This Row],[Position ID]],Position!A:A, 0 ))</f>
        <v>Area Sales Manager</v>
      </c>
      <c r="Y290" t="str">
        <f>INDEX(Department!B:B,MATCH(Table1[[#This Row],[Department ID]],Department!A:A,0))</f>
        <v>Sales</v>
      </c>
      <c r="Z290" t="str">
        <f>INDEX(Manager!B:B,MATCH(Table1[[#This Row],[Manger ID]],Manager!A:A,0))</f>
        <v>John Smith</v>
      </c>
      <c r="AA290">
        <f ca="1">DATEDIF(Table1[[#This Row],[DOB]],TODAY(), "Y")</f>
        <v>32</v>
      </c>
      <c r="AB290" t="str">
        <f ca="1">IF(Table1[[#This Row],[ Age]]&lt;18,"Less than 18",IF(Table1[[#This Row],[ Age]]&lt;=29,"18-29",IF(Table1[[#This Row],[ Age]]&lt;=49,"30-49",IF(Table1[[#This Row],[ Age]]&lt;=59,"50-59","60 or more"))))</f>
        <v>30-49</v>
      </c>
      <c r="AC290" s="8">
        <f ca="1">IF(ISBLANK(Table1[[#This Row],[DateofTermination]]),DATEDIF(Table1[[#This Row],[DateofHire]],TODAY(), "M"),DATEDIF(Table1[[#This Row],[DateofHire]],Table1[[#This Row],[DateofTermination]],"M"))/12</f>
        <v>12.75</v>
      </c>
      <c r="AD290" t="str">
        <f>IF(Table1[[#This Row],[EmpSatisfaction]]=1,"Very Dissatisfied", IF(Table1[[#This Row],[EmpSatisfaction]] = 2, "Dissatisfied", IF(Table1[[#This Row],[EmpSatisfaction]]  = 3, "Neutral", IF(Table1[[#This Row],[EmpSatisfaction]] = 4, "Satisfied", IF(Table1[[#This Row],[EmpSatisfaction]]=5,"Very Satisfied", " ")))))</f>
        <v>Neutral</v>
      </c>
      <c r="AE290">
        <f>YEAR(Table1[[#This Row],[DateofHire]])</f>
        <v>2011</v>
      </c>
      <c r="AF290" t="s">
        <v>25</v>
      </c>
    </row>
    <row r="291" spans="1:32" hidden="1" x14ac:dyDescent="0.3">
      <c r="A291" t="s">
        <v>422</v>
      </c>
      <c r="B291">
        <v>10014</v>
      </c>
      <c r="C291" t="s">
        <v>474</v>
      </c>
      <c r="D291" t="s">
        <v>489</v>
      </c>
      <c r="E291">
        <v>10196</v>
      </c>
      <c r="F291" s="1">
        <v>41134</v>
      </c>
      <c r="G291" s="7">
        <v>58523</v>
      </c>
      <c r="H291" t="s">
        <v>498</v>
      </c>
      <c r="I291" s="1">
        <v>31808</v>
      </c>
      <c r="J291" t="s">
        <v>43</v>
      </c>
      <c r="K291" t="s">
        <v>23</v>
      </c>
      <c r="L291" t="s">
        <v>24</v>
      </c>
      <c r="M291" t="s">
        <v>21</v>
      </c>
      <c r="N291">
        <v>2171</v>
      </c>
      <c r="O291" s="1">
        <v>42405</v>
      </c>
      <c r="P291" t="s">
        <v>527</v>
      </c>
      <c r="Q291" t="s">
        <v>32</v>
      </c>
      <c r="R291" t="s">
        <v>27</v>
      </c>
      <c r="S291" t="s">
        <v>28</v>
      </c>
      <c r="T291">
        <v>4.5</v>
      </c>
      <c r="U291">
        <v>5</v>
      </c>
      <c r="V291" s="1">
        <v>42401</v>
      </c>
      <c r="W291">
        <v>15</v>
      </c>
      <c r="X291" t="str">
        <f>INDEX(Position!B:B,MATCH(Table1[[#This Row],[Position ID]],Position!A:A, 0 ))</f>
        <v>Production Technician I</v>
      </c>
      <c r="Y291" t="str">
        <f>INDEX(Department!B:B,MATCH(Table1[[#This Row],[Department ID]],Department!A:A,0))</f>
        <v>Production</v>
      </c>
      <c r="Z291" t="str">
        <f>INDEX(Manager!B:B,MATCH(Table1[[#This Row],[Manger ID]],Manager!A:A,0))</f>
        <v>Kissy Sullivan</v>
      </c>
      <c r="AA291">
        <f ca="1">DATEDIF(Table1[[#This Row],[DOB]],TODAY(), "Y")</f>
        <v>37</v>
      </c>
      <c r="AB291" t="str">
        <f ca="1">IF(Table1[[#This Row],[ Age]]&lt;18,"Less than 18",IF(Table1[[#This Row],[ Age]]&lt;=29,"18-29",IF(Table1[[#This Row],[ Age]]&lt;=49,"30-49",IF(Table1[[#This Row],[ Age]]&lt;=59,"50-59","60 or more"))))</f>
        <v>30-49</v>
      </c>
      <c r="AC291" s="8">
        <f ca="1">IF(ISBLANK(Table1[[#This Row],[DateofTermination]]),DATEDIF(Table1[[#This Row],[DateofHire]],TODAY(), "M"),DATEDIF(Table1[[#This Row],[DateofHire]],Table1[[#This Row],[DateofTermination]],"M"))/12</f>
        <v>3.4166666666666665</v>
      </c>
      <c r="AD291" t="str">
        <f>IF(Table1[[#This Row],[EmpSatisfaction]]=1,"Very Dissatisfied", IF(Table1[[#This Row],[EmpSatisfaction]] = 2, "Dissatisfied", IF(Table1[[#This Row],[EmpSatisfaction]]  = 3, "Neutral", IF(Table1[[#This Row],[EmpSatisfaction]] = 4, "Satisfied", IF(Table1[[#This Row],[EmpSatisfaction]]=5,"Very Satisfied", " ")))))</f>
        <v>Very Satisfied</v>
      </c>
      <c r="AE291">
        <f>YEAR(Table1[[#This Row],[DateofHire]])</f>
        <v>2012</v>
      </c>
      <c r="AF291" t="s">
        <v>535</v>
      </c>
    </row>
    <row r="292" spans="1:32" x14ac:dyDescent="0.3">
      <c r="A292" t="s">
        <v>423</v>
      </c>
      <c r="B292">
        <v>10144</v>
      </c>
      <c r="C292" t="s">
        <v>473</v>
      </c>
      <c r="D292" t="s">
        <v>489</v>
      </c>
      <c r="E292">
        <v>10175</v>
      </c>
      <c r="F292" s="1">
        <v>40756</v>
      </c>
      <c r="G292" s="7">
        <v>88976</v>
      </c>
      <c r="H292" t="s">
        <v>498</v>
      </c>
      <c r="I292" s="1">
        <v>25121</v>
      </c>
      <c r="J292" t="s">
        <v>43</v>
      </c>
      <c r="K292" t="s">
        <v>23</v>
      </c>
      <c r="L292" t="s">
        <v>24</v>
      </c>
      <c r="M292" t="s">
        <v>21</v>
      </c>
      <c r="N292">
        <v>2169</v>
      </c>
      <c r="P292" t="s">
        <v>512</v>
      </c>
      <c r="Q292" t="s">
        <v>25</v>
      </c>
      <c r="R292" t="s">
        <v>55</v>
      </c>
      <c r="S292" t="s">
        <v>36</v>
      </c>
      <c r="T292">
        <v>3.93</v>
      </c>
      <c r="U292">
        <v>3</v>
      </c>
      <c r="V292" s="1">
        <v>43523</v>
      </c>
      <c r="W292">
        <v>19</v>
      </c>
      <c r="X292" t="str">
        <f>INDEX(Position!B:B,MATCH(Table1[[#This Row],[Position ID]],Position!A:A, 0 ))</f>
        <v>Production Manager</v>
      </c>
      <c r="Y292" t="str">
        <f>INDEX(Department!B:B,MATCH(Table1[[#This Row],[Department ID]],Department!A:A,0))</f>
        <v>Production</v>
      </c>
      <c r="Z292" t="str">
        <f>INDEX(Manager!B:B,MATCH(Table1[[#This Row],[Manger ID]],Manager!A:A,0))</f>
        <v>Janet King</v>
      </c>
      <c r="AA292">
        <f ca="1">DATEDIF(Table1[[#This Row],[DOB]],TODAY(), "Y")</f>
        <v>55</v>
      </c>
      <c r="AB292" t="str">
        <f ca="1">IF(Table1[[#This Row],[ Age]]&lt;18,"Less than 18",IF(Table1[[#This Row],[ Age]]&lt;=29,"18-29",IF(Table1[[#This Row],[ Age]]&lt;=49,"30-49",IF(Table1[[#This Row],[ Age]]&lt;=59,"50-59","60 or more"))))</f>
        <v>50-59</v>
      </c>
      <c r="AC292" s="8">
        <f ca="1">IF(ISBLANK(Table1[[#This Row],[DateofTermination]]),DATEDIF(Table1[[#This Row],[DateofHire]],TODAY(), "M"),DATEDIF(Table1[[#This Row],[DateofHire]],Table1[[#This Row],[DateofTermination]],"M"))/12</f>
        <v>12.666666666666666</v>
      </c>
      <c r="AD292" t="str">
        <f>IF(Table1[[#This Row],[EmpSatisfaction]]=1,"Very Dissatisfied", IF(Table1[[#This Row],[EmpSatisfaction]] = 2, "Dissatisfied", IF(Table1[[#This Row],[EmpSatisfaction]]  = 3, "Neutral", IF(Table1[[#This Row],[EmpSatisfaction]] = 4, "Satisfied", IF(Table1[[#This Row],[EmpSatisfaction]]=5,"Very Satisfied", " ")))))</f>
        <v>Neutral</v>
      </c>
      <c r="AE292">
        <f>YEAR(Table1[[#This Row],[DateofHire]])</f>
        <v>2011</v>
      </c>
      <c r="AF292" t="s">
        <v>25</v>
      </c>
    </row>
    <row r="293" spans="1:32" x14ac:dyDescent="0.3">
      <c r="A293" t="s">
        <v>424</v>
      </c>
      <c r="B293">
        <v>10253</v>
      </c>
      <c r="C293" t="s">
        <v>454</v>
      </c>
      <c r="D293" t="s">
        <v>490</v>
      </c>
      <c r="E293">
        <v>10188</v>
      </c>
      <c r="F293" s="1">
        <v>40973</v>
      </c>
      <c r="G293" s="7">
        <v>55875</v>
      </c>
      <c r="H293" t="s">
        <v>498</v>
      </c>
      <c r="I293" s="1">
        <v>32700</v>
      </c>
      <c r="J293" t="s">
        <v>22</v>
      </c>
      <c r="K293" t="s">
        <v>23</v>
      </c>
      <c r="L293" t="s">
        <v>82</v>
      </c>
      <c r="M293" t="s">
        <v>425</v>
      </c>
      <c r="N293">
        <v>4063</v>
      </c>
      <c r="P293" t="s">
        <v>512</v>
      </c>
      <c r="Q293" t="s">
        <v>25</v>
      </c>
      <c r="R293" t="s">
        <v>167</v>
      </c>
      <c r="S293" t="s">
        <v>36</v>
      </c>
      <c r="T293">
        <v>4.5</v>
      </c>
      <c r="U293">
        <v>4</v>
      </c>
      <c r="V293" s="1">
        <v>43483</v>
      </c>
      <c r="W293">
        <v>11</v>
      </c>
      <c r="X293" t="str">
        <f>INDEX(Position!B:B,MATCH(Table1[[#This Row],[Position ID]],Position!A:A, 0 ))</f>
        <v>Area Sales Manager</v>
      </c>
      <c r="Y293" t="str">
        <f>INDEX(Department!B:B,MATCH(Table1[[#This Row],[Department ID]],Department!A:A,0))</f>
        <v>Sales</v>
      </c>
      <c r="Z293" t="str">
        <f>INDEX(Manager!B:B,MATCH(Table1[[#This Row],[Manger ID]],Manager!A:A,0))</f>
        <v>John Smith</v>
      </c>
      <c r="AA293">
        <f ca="1">DATEDIF(Table1[[#This Row],[DOB]],TODAY(), "Y")</f>
        <v>34</v>
      </c>
      <c r="AB293" t="str">
        <f ca="1">IF(Table1[[#This Row],[ Age]]&lt;18,"Less than 18",IF(Table1[[#This Row],[ Age]]&lt;=29,"18-29",IF(Table1[[#This Row],[ Age]]&lt;=49,"30-49",IF(Table1[[#This Row],[ Age]]&lt;=59,"50-59","60 or more"))))</f>
        <v>30-49</v>
      </c>
      <c r="AC293" s="8">
        <f ca="1">IF(ISBLANK(Table1[[#This Row],[DateofTermination]]),DATEDIF(Table1[[#This Row],[DateofHire]],TODAY(), "M"),DATEDIF(Table1[[#This Row],[DateofHire]],Table1[[#This Row],[DateofTermination]],"M"))/12</f>
        <v>12.083333333333334</v>
      </c>
      <c r="AD293" t="str">
        <f>IF(Table1[[#This Row],[EmpSatisfaction]]=1,"Very Dissatisfied", IF(Table1[[#This Row],[EmpSatisfaction]] = 2, "Dissatisfied", IF(Table1[[#This Row],[EmpSatisfaction]]  = 3, "Neutral", IF(Table1[[#This Row],[EmpSatisfaction]] = 4, "Satisfied", IF(Table1[[#This Row],[EmpSatisfaction]]=5,"Very Satisfied", " ")))))</f>
        <v>Satisfied</v>
      </c>
      <c r="AE293">
        <f>YEAR(Table1[[#This Row],[DateofHire]])</f>
        <v>2012</v>
      </c>
      <c r="AF293" t="s">
        <v>25</v>
      </c>
    </row>
    <row r="294" spans="1:32" hidden="1" x14ac:dyDescent="0.3">
      <c r="A294" t="s">
        <v>426</v>
      </c>
      <c r="B294">
        <v>10118</v>
      </c>
      <c r="C294" t="s">
        <v>461</v>
      </c>
      <c r="D294" t="s">
        <v>488</v>
      </c>
      <c r="E294">
        <v>10084</v>
      </c>
      <c r="F294" s="1">
        <v>42051</v>
      </c>
      <c r="G294" s="7">
        <v>113999</v>
      </c>
      <c r="H294" t="s">
        <v>498</v>
      </c>
      <c r="I294" s="1">
        <v>31631</v>
      </c>
      <c r="J294" t="s">
        <v>31</v>
      </c>
      <c r="K294" t="s">
        <v>23</v>
      </c>
      <c r="L294" t="s">
        <v>57</v>
      </c>
      <c r="M294" t="s">
        <v>21</v>
      </c>
      <c r="N294">
        <v>1960</v>
      </c>
      <c r="O294" s="1">
        <v>42788</v>
      </c>
      <c r="P294" t="s">
        <v>525</v>
      </c>
      <c r="Q294" t="s">
        <v>75</v>
      </c>
      <c r="R294" t="s">
        <v>55</v>
      </c>
      <c r="S294" t="s">
        <v>36</v>
      </c>
      <c r="T294">
        <v>4.33</v>
      </c>
      <c r="U294">
        <v>3</v>
      </c>
      <c r="V294" s="1">
        <v>42781</v>
      </c>
      <c r="W294">
        <v>9</v>
      </c>
      <c r="X294" t="str">
        <f>INDEX(Position!B:B,MATCH(Table1[[#This Row],[Position ID]],Position!A:A, 0 ))</f>
        <v>Database Administrator</v>
      </c>
      <c r="Y294" t="str">
        <f>INDEX(Department!B:B,MATCH(Table1[[#This Row],[Department ID]],Department!A:A,0))</f>
        <v>IT/IS</v>
      </c>
      <c r="Z294" t="str">
        <f>INDEX(Manager!B:B,MATCH(Table1[[#This Row],[Manger ID]],Manager!A:A,0))</f>
        <v>Simon Roup</v>
      </c>
      <c r="AA294">
        <f ca="1">DATEDIF(Table1[[#This Row],[DOB]],TODAY(), "Y")</f>
        <v>37</v>
      </c>
      <c r="AB294" t="str">
        <f ca="1">IF(Table1[[#This Row],[ Age]]&lt;18,"Less than 18",IF(Table1[[#This Row],[ Age]]&lt;=29,"18-29",IF(Table1[[#This Row],[ Age]]&lt;=49,"30-49",IF(Table1[[#This Row],[ Age]]&lt;=59,"50-59","60 or more"))))</f>
        <v>30-49</v>
      </c>
      <c r="AC294" s="8">
        <f ca="1">IF(ISBLANK(Table1[[#This Row],[DateofTermination]]),DATEDIF(Table1[[#This Row],[DateofHire]],TODAY(), "M"),DATEDIF(Table1[[#This Row],[DateofHire]],Table1[[#This Row],[DateofTermination]],"M"))/12</f>
        <v>2</v>
      </c>
      <c r="AD294" t="str">
        <f>IF(Table1[[#This Row],[EmpSatisfaction]]=1,"Very Dissatisfied", IF(Table1[[#This Row],[EmpSatisfaction]] = 2, "Dissatisfied", IF(Table1[[#This Row],[EmpSatisfaction]]  = 3, "Neutral", IF(Table1[[#This Row],[EmpSatisfaction]] = 4, "Satisfied", IF(Table1[[#This Row],[EmpSatisfaction]]=5,"Very Satisfied", " ")))))</f>
        <v>Neutral</v>
      </c>
      <c r="AE294">
        <f>YEAR(Table1[[#This Row],[DateofHire]])</f>
        <v>2015</v>
      </c>
      <c r="AF294" t="s">
        <v>535</v>
      </c>
    </row>
    <row r="295" spans="1:32" hidden="1" x14ac:dyDescent="0.3">
      <c r="A295" t="s">
        <v>427</v>
      </c>
      <c r="B295">
        <v>10022</v>
      </c>
      <c r="C295" t="s">
        <v>474</v>
      </c>
      <c r="D295" t="s">
        <v>489</v>
      </c>
      <c r="E295">
        <v>10265</v>
      </c>
      <c r="F295" s="1">
        <v>40812</v>
      </c>
      <c r="G295" s="7">
        <v>49773</v>
      </c>
      <c r="H295" t="s">
        <v>499</v>
      </c>
      <c r="I295" s="1">
        <v>31566</v>
      </c>
      <c r="J295" t="s">
        <v>31</v>
      </c>
      <c r="K295" t="s">
        <v>23</v>
      </c>
      <c r="L295" t="s">
        <v>24</v>
      </c>
      <c r="M295" t="s">
        <v>21</v>
      </c>
      <c r="N295">
        <v>2747</v>
      </c>
      <c r="O295" s="1">
        <v>42408</v>
      </c>
      <c r="P295" t="s">
        <v>529</v>
      </c>
      <c r="Q295" t="s">
        <v>75</v>
      </c>
      <c r="R295" t="s">
        <v>45</v>
      </c>
      <c r="S295" t="s">
        <v>28</v>
      </c>
      <c r="T295">
        <v>4.3</v>
      </c>
      <c r="U295">
        <v>5</v>
      </c>
      <c r="V295" s="1">
        <v>42036</v>
      </c>
      <c r="W295">
        <v>18</v>
      </c>
      <c r="X295" t="str">
        <f>INDEX(Position!B:B,MATCH(Table1[[#This Row],[Position ID]],Position!A:A, 0 ))</f>
        <v>Production Technician I</v>
      </c>
      <c r="Y295" t="str">
        <f>INDEX(Department!B:B,MATCH(Table1[[#This Row],[Department ID]],Department!A:A,0))</f>
        <v>Production</v>
      </c>
      <c r="Z295" t="str">
        <f>INDEX(Manager!B:B,MATCH(Table1[[#This Row],[Manger ID]],Manager!A:A,0))</f>
        <v>Kelley Spirea</v>
      </c>
      <c r="AA295">
        <f ca="1">DATEDIF(Table1[[#This Row],[DOB]],TODAY(), "Y")</f>
        <v>37</v>
      </c>
      <c r="AB295" t="str">
        <f ca="1">IF(Table1[[#This Row],[ Age]]&lt;18,"Less than 18",IF(Table1[[#This Row],[ Age]]&lt;=29,"18-29",IF(Table1[[#This Row],[ Age]]&lt;=49,"30-49",IF(Table1[[#This Row],[ Age]]&lt;=59,"50-59","60 or more"))))</f>
        <v>30-49</v>
      </c>
      <c r="AC295" s="8">
        <f ca="1">IF(ISBLANK(Table1[[#This Row],[DateofTermination]]),DATEDIF(Table1[[#This Row],[DateofHire]],TODAY(), "M"),DATEDIF(Table1[[#This Row],[DateofHire]],Table1[[#This Row],[DateofTermination]],"M"))/12</f>
        <v>4.333333333333333</v>
      </c>
      <c r="AD295" t="str">
        <f>IF(Table1[[#This Row],[EmpSatisfaction]]=1,"Very Dissatisfied", IF(Table1[[#This Row],[EmpSatisfaction]] = 2, "Dissatisfied", IF(Table1[[#This Row],[EmpSatisfaction]]  = 3, "Neutral", IF(Table1[[#This Row],[EmpSatisfaction]] = 4, "Satisfied", IF(Table1[[#This Row],[EmpSatisfaction]]=5,"Very Satisfied", " ")))))</f>
        <v>Very Satisfied</v>
      </c>
      <c r="AE295">
        <f>YEAR(Table1[[#This Row],[DateofHire]])</f>
        <v>2011</v>
      </c>
      <c r="AF295" t="s">
        <v>535</v>
      </c>
    </row>
    <row r="296" spans="1:32" x14ac:dyDescent="0.3">
      <c r="A296" t="s">
        <v>428</v>
      </c>
      <c r="B296">
        <v>10183</v>
      </c>
      <c r="C296" t="s">
        <v>474</v>
      </c>
      <c r="D296" t="s">
        <v>489</v>
      </c>
      <c r="E296">
        <v>10026</v>
      </c>
      <c r="F296" s="1">
        <v>42190</v>
      </c>
      <c r="G296" s="7">
        <v>62068</v>
      </c>
      <c r="H296" t="s">
        <v>499</v>
      </c>
      <c r="I296" s="1">
        <v>31143</v>
      </c>
      <c r="J296" t="s">
        <v>22</v>
      </c>
      <c r="K296" t="s">
        <v>23</v>
      </c>
      <c r="L296" t="s">
        <v>24</v>
      </c>
      <c r="M296" t="s">
        <v>21</v>
      </c>
      <c r="N296">
        <v>2124</v>
      </c>
      <c r="P296" t="s">
        <v>512</v>
      </c>
      <c r="Q296" t="s">
        <v>25</v>
      </c>
      <c r="R296" t="s">
        <v>27</v>
      </c>
      <c r="S296" t="s">
        <v>36</v>
      </c>
      <c r="T296">
        <v>3.21</v>
      </c>
      <c r="U296">
        <v>3</v>
      </c>
      <c r="V296" s="1">
        <v>43494</v>
      </c>
      <c r="W296">
        <v>7</v>
      </c>
      <c r="X296" t="str">
        <f>INDEX(Position!B:B,MATCH(Table1[[#This Row],[Position ID]],Position!A:A, 0 ))</f>
        <v>Production Technician I</v>
      </c>
      <c r="Y296" t="str">
        <f>INDEX(Department!B:B,MATCH(Table1[[#This Row],[Department ID]],Department!A:A,0))</f>
        <v>Production</v>
      </c>
      <c r="Z296" t="str">
        <f>INDEX(Manager!B:B,MATCH(Table1[[#This Row],[Manger ID]],Manager!A:A,0))</f>
        <v>Michael Albert</v>
      </c>
      <c r="AA296">
        <f ca="1">DATEDIF(Table1[[#This Row],[DOB]],TODAY(), "Y")</f>
        <v>39</v>
      </c>
      <c r="AB296" t="str">
        <f ca="1">IF(Table1[[#This Row],[ Age]]&lt;18,"Less than 18",IF(Table1[[#This Row],[ Age]]&lt;=29,"18-29",IF(Table1[[#This Row],[ Age]]&lt;=49,"30-49",IF(Table1[[#This Row],[ Age]]&lt;=59,"50-59","60 or more"))))</f>
        <v>30-49</v>
      </c>
      <c r="AC296" s="8">
        <f ca="1">IF(ISBLANK(Table1[[#This Row],[DateofTermination]]),DATEDIF(Table1[[#This Row],[DateofHire]],TODAY(), "M"),DATEDIF(Table1[[#This Row],[DateofHire]],Table1[[#This Row],[DateofTermination]],"M"))/12</f>
        <v>8.75</v>
      </c>
      <c r="AD296" t="str">
        <f>IF(Table1[[#This Row],[EmpSatisfaction]]=1,"Very Dissatisfied", IF(Table1[[#This Row],[EmpSatisfaction]] = 2, "Dissatisfied", IF(Table1[[#This Row],[EmpSatisfaction]]  = 3, "Neutral", IF(Table1[[#This Row],[EmpSatisfaction]] = 4, "Satisfied", IF(Table1[[#This Row],[EmpSatisfaction]]=5,"Very Satisfied", " ")))))</f>
        <v>Neutral</v>
      </c>
      <c r="AE296">
        <f>YEAR(Table1[[#This Row],[DateofHire]])</f>
        <v>2015</v>
      </c>
      <c r="AF296" t="s">
        <v>25</v>
      </c>
    </row>
    <row r="297" spans="1:32" x14ac:dyDescent="0.3">
      <c r="A297" t="s">
        <v>429</v>
      </c>
      <c r="B297">
        <v>10190</v>
      </c>
      <c r="C297" t="s">
        <v>475</v>
      </c>
      <c r="D297" t="s">
        <v>489</v>
      </c>
      <c r="E297">
        <v>10062</v>
      </c>
      <c r="F297" s="1">
        <v>41869</v>
      </c>
      <c r="G297" s="7">
        <v>66541</v>
      </c>
      <c r="H297" t="s">
        <v>498</v>
      </c>
      <c r="I297" s="1">
        <v>27800</v>
      </c>
      <c r="J297" t="s">
        <v>22</v>
      </c>
      <c r="K297" t="s">
        <v>23</v>
      </c>
      <c r="L297" t="s">
        <v>57</v>
      </c>
      <c r="M297" t="s">
        <v>21</v>
      </c>
      <c r="N297">
        <v>2459</v>
      </c>
      <c r="P297" t="s">
        <v>512</v>
      </c>
      <c r="Q297" t="s">
        <v>25</v>
      </c>
      <c r="R297" t="s">
        <v>55</v>
      </c>
      <c r="S297" t="s">
        <v>36</v>
      </c>
      <c r="T297">
        <v>3.11</v>
      </c>
      <c r="U297">
        <v>5</v>
      </c>
      <c r="V297" s="1">
        <v>43508</v>
      </c>
      <c r="W297">
        <v>4</v>
      </c>
      <c r="X297" t="str">
        <f>INDEX(Position!B:B,MATCH(Table1[[#This Row],[Position ID]],Position!A:A, 0 ))</f>
        <v>Production Technician II</v>
      </c>
      <c r="Y297" t="str">
        <f>INDEX(Department!B:B,MATCH(Table1[[#This Row],[Department ID]],Department!A:A,0))</f>
        <v>Production</v>
      </c>
      <c r="Z297" t="str">
        <f>INDEX(Manager!B:B,MATCH(Table1[[#This Row],[Manger ID]],Manager!A:A,0))</f>
        <v>Ketsia Liebig</v>
      </c>
      <c r="AA297">
        <f ca="1">DATEDIF(Table1[[#This Row],[DOB]],TODAY(), "Y")</f>
        <v>48</v>
      </c>
      <c r="AB297" t="str">
        <f ca="1">IF(Table1[[#This Row],[ Age]]&lt;18,"Less than 18",IF(Table1[[#This Row],[ Age]]&lt;=29,"18-29",IF(Table1[[#This Row],[ Age]]&lt;=49,"30-49",IF(Table1[[#This Row],[ Age]]&lt;=59,"50-59","60 or more"))))</f>
        <v>30-49</v>
      </c>
      <c r="AC297" s="8">
        <f ca="1">IF(ISBLANK(Table1[[#This Row],[DateofTermination]]),DATEDIF(Table1[[#This Row],[DateofHire]],TODAY(), "M"),DATEDIF(Table1[[#This Row],[DateofHire]],Table1[[#This Row],[DateofTermination]],"M"))/12</f>
        <v>9.5833333333333339</v>
      </c>
      <c r="AD297" t="str">
        <f>IF(Table1[[#This Row],[EmpSatisfaction]]=1,"Very Dissatisfied", IF(Table1[[#This Row],[EmpSatisfaction]] = 2, "Dissatisfied", IF(Table1[[#This Row],[EmpSatisfaction]]  = 3, "Neutral", IF(Table1[[#This Row],[EmpSatisfaction]] = 4, "Satisfied", IF(Table1[[#This Row],[EmpSatisfaction]]=5,"Very Satisfied", " ")))))</f>
        <v>Very Satisfied</v>
      </c>
      <c r="AE297">
        <f>YEAR(Table1[[#This Row],[DateofHire]])</f>
        <v>2014</v>
      </c>
      <c r="AF297" t="s">
        <v>25</v>
      </c>
    </row>
    <row r="298" spans="1:32" hidden="1" x14ac:dyDescent="0.3">
      <c r="A298" t="s">
        <v>430</v>
      </c>
      <c r="B298">
        <v>10274</v>
      </c>
      <c r="C298" t="s">
        <v>473</v>
      </c>
      <c r="D298" t="s">
        <v>489</v>
      </c>
      <c r="E298">
        <v>10175</v>
      </c>
      <c r="F298" s="1">
        <v>40812</v>
      </c>
      <c r="G298" s="7">
        <v>80512</v>
      </c>
      <c r="H298" t="s">
        <v>499</v>
      </c>
      <c r="I298" s="1">
        <v>20407</v>
      </c>
      <c r="J298" t="s">
        <v>31</v>
      </c>
      <c r="K298" t="s">
        <v>23</v>
      </c>
      <c r="L298" t="s">
        <v>57</v>
      </c>
      <c r="M298" t="s">
        <v>21</v>
      </c>
      <c r="N298">
        <v>2478</v>
      </c>
      <c r="O298" s="1">
        <v>40910</v>
      </c>
      <c r="P298" t="s">
        <v>516</v>
      </c>
      <c r="Q298" t="s">
        <v>32</v>
      </c>
      <c r="R298" t="s">
        <v>59</v>
      </c>
      <c r="S298" t="s">
        <v>36</v>
      </c>
      <c r="T298">
        <v>4.5</v>
      </c>
      <c r="U298">
        <v>3</v>
      </c>
      <c r="V298" s="1">
        <v>40910</v>
      </c>
      <c r="W298">
        <v>5</v>
      </c>
      <c r="X298" t="str">
        <f>INDEX(Position!B:B,MATCH(Table1[[#This Row],[Position ID]],Position!A:A, 0 ))</f>
        <v>Production Manager</v>
      </c>
      <c r="Y298" t="str">
        <f>INDEX(Department!B:B,MATCH(Table1[[#This Row],[Department ID]],Department!A:A,0))</f>
        <v>Production</v>
      </c>
      <c r="Z298" t="str">
        <f>INDEX(Manager!B:B,MATCH(Table1[[#This Row],[Manger ID]],Manager!A:A,0))</f>
        <v>Janet King</v>
      </c>
      <c r="AA298">
        <f ca="1">DATEDIF(Table1[[#This Row],[DOB]],TODAY(), "Y")</f>
        <v>68</v>
      </c>
      <c r="AB298" t="str">
        <f ca="1">IF(Table1[[#This Row],[ Age]]&lt;18,"Less than 18",IF(Table1[[#This Row],[ Age]]&lt;=29,"18-29",IF(Table1[[#This Row],[ Age]]&lt;=49,"30-49",IF(Table1[[#This Row],[ Age]]&lt;=59,"50-59","60 or more"))))</f>
        <v>60 or more</v>
      </c>
      <c r="AC298" s="8">
        <f ca="1">IF(ISBLANK(Table1[[#This Row],[DateofTermination]]),DATEDIF(Table1[[#This Row],[DateofHire]],TODAY(), "M"),DATEDIF(Table1[[#This Row],[DateofHire]],Table1[[#This Row],[DateofTermination]],"M"))/12</f>
        <v>0.25</v>
      </c>
      <c r="AD298" t="str">
        <f>IF(Table1[[#This Row],[EmpSatisfaction]]=1,"Very Dissatisfied", IF(Table1[[#This Row],[EmpSatisfaction]] = 2, "Dissatisfied", IF(Table1[[#This Row],[EmpSatisfaction]]  = 3, "Neutral", IF(Table1[[#This Row],[EmpSatisfaction]] = 4, "Satisfied", IF(Table1[[#This Row],[EmpSatisfaction]]=5,"Very Satisfied", " ")))))</f>
        <v>Neutral</v>
      </c>
      <c r="AE298">
        <f>YEAR(Table1[[#This Row],[DateofHire]])</f>
        <v>2011</v>
      </c>
      <c r="AF298" t="s">
        <v>535</v>
      </c>
    </row>
    <row r="299" spans="1:32" hidden="1" x14ac:dyDescent="0.3">
      <c r="A299" t="s">
        <v>431</v>
      </c>
      <c r="B299">
        <v>10293</v>
      </c>
      <c r="C299" t="s">
        <v>474</v>
      </c>
      <c r="D299" t="s">
        <v>489</v>
      </c>
      <c r="E299">
        <v>10088</v>
      </c>
      <c r="F299" s="1">
        <v>41134</v>
      </c>
      <c r="G299" s="7">
        <v>50274</v>
      </c>
      <c r="H299" t="s">
        <v>499</v>
      </c>
      <c r="I299" s="1">
        <v>29435</v>
      </c>
      <c r="J299" t="s">
        <v>22</v>
      </c>
      <c r="K299" t="s">
        <v>23</v>
      </c>
      <c r="L299" t="s">
        <v>24</v>
      </c>
      <c r="M299" t="s">
        <v>21</v>
      </c>
      <c r="N299">
        <v>1887</v>
      </c>
      <c r="O299" s="1">
        <v>42248</v>
      </c>
      <c r="P299" t="s">
        <v>513</v>
      </c>
      <c r="Q299" t="s">
        <v>32</v>
      </c>
      <c r="R299" t="s">
        <v>87</v>
      </c>
      <c r="S299" t="s">
        <v>88</v>
      </c>
      <c r="T299">
        <v>2.5</v>
      </c>
      <c r="U299">
        <v>3</v>
      </c>
      <c r="V299" s="1">
        <v>41887</v>
      </c>
      <c r="W299">
        <v>13</v>
      </c>
      <c r="X299" t="str">
        <f>INDEX(Position!B:B,MATCH(Table1[[#This Row],[Position ID]],Position!A:A, 0 ))</f>
        <v>Production Technician I</v>
      </c>
      <c r="Y299" t="str">
        <f>INDEX(Department!B:B,MATCH(Table1[[#This Row],[Department ID]],Department!A:A,0))</f>
        <v>Production</v>
      </c>
      <c r="Z299" t="str">
        <f>INDEX(Manager!B:B,MATCH(Table1[[#This Row],[Manger ID]],Manager!A:A,0))</f>
        <v>Elijiah Gray</v>
      </c>
      <c r="AA299">
        <f ca="1">DATEDIF(Table1[[#This Row],[DOB]],TODAY(), "Y")</f>
        <v>43</v>
      </c>
      <c r="AB299" t="str">
        <f ca="1">IF(Table1[[#This Row],[ Age]]&lt;18,"Less than 18",IF(Table1[[#This Row],[ Age]]&lt;=29,"18-29",IF(Table1[[#This Row],[ Age]]&lt;=49,"30-49",IF(Table1[[#This Row],[ Age]]&lt;=59,"50-59","60 or more"))))</f>
        <v>30-49</v>
      </c>
      <c r="AC299" s="8">
        <f ca="1">IF(ISBLANK(Table1[[#This Row],[DateofTermination]]),DATEDIF(Table1[[#This Row],[DateofHire]],TODAY(), "M"),DATEDIF(Table1[[#This Row],[DateofHire]],Table1[[#This Row],[DateofTermination]],"M"))/12</f>
        <v>3</v>
      </c>
      <c r="AD299" t="str">
        <f>IF(Table1[[#This Row],[EmpSatisfaction]]=1,"Very Dissatisfied", IF(Table1[[#This Row],[EmpSatisfaction]] = 2, "Dissatisfied", IF(Table1[[#This Row],[EmpSatisfaction]]  = 3, "Neutral", IF(Table1[[#This Row],[EmpSatisfaction]] = 4, "Satisfied", IF(Table1[[#This Row],[EmpSatisfaction]]=5,"Very Satisfied", " ")))))</f>
        <v>Neutral</v>
      </c>
      <c r="AE299">
        <f>YEAR(Table1[[#This Row],[DateofHire]])</f>
        <v>2012</v>
      </c>
      <c r="AF299" t="s">
        <v>535</v>
      </c>
    </row>
    <row r="300" spans="1:32" x14ac:dyDescent="0.3">
      <c r="A300" t="s">
        <v>432</v>
      </c>
      <c r="B300">
        <v>10172</v>
      </c>
      <c r="C300" t="s">
        <v>477</v>
      </c>
      <c r="D300" t="s">
        <v>488</v>
      </c>
      <c r="E300">
        <v>10197</v>
      </c>
      <c r="F300" s="1">
        <v>42781</v>
      </c>
      <c r="G300" s="7">
        <v>84903</v>
      </c>
      <c r="H300" t="s">
        <v>498</v>
      </c>
      <c r="I300" s="1">
        <v>29775</v>
      </c>
      <c r="J300" t="s">
        <v>22</v>
      </c>
      <c r="K300" t="s">
        <v>23</v>
      </c>
      <c r="L300" t="s">
        <v>82</v>
      </c>
      <c r="M300" t="s">
        <v>21</v>
      </c>
      <c r="N300">
        <v>1887</v>
      </c>
      <c r="P300" t="s">
        <v>512</v>
      </c>
      <c r="Q300" t="s">
        <v>25</v>
      </c>
      <c r="R300" t="s">
        <v>35</v>
      </c>
      <c r="S300" t="s">
        <v>36</v>
      </c>
      <c r="T300">
        <v>3.42</v>
      </c>
      <c r="U300">
        <v>4</v>
      </c>
      <c r="V300" s="1">
        <v>43469</v>
      </c>
      <c r="W300">
        <v>17</v>
      </c>
      <c r="X300" t="str">
        <f>INDEX(Position!B:B,MATCH(Table1[[#This Row],[Position ID]],Position!A:A, 0 ))</f>
        <v>Senior BI Developer</v>
      </c>
      <c r="Y300" t="str">
        <f>INDEX(Department!B:B,MATCH(Table1[[#This Row],[Department ID]],Department!A:A,0))</f>
        <v>IT/IS</v>
      </c>
      <c r="Z300" t="str">
        <f>INDEX(Manager!B:B,MATCH(Table1[[#This Row],[Manger ID]],Manager!A:A,0))</f>
        <v>Brian Champaigne</v>
      </c>
      <c r="AA300">
        <f ca="1">DATEDIF(Table1[[#This Row],[DOB]],TODAY(), "Y")</f>
        <v>42</v>
      </c>
      <c r="AB300" t="str">
        <f ca="1">IF(Table1[[#This Row],[ Age]]&lt;18,"Less than 18",IF(Table1[[#This Row],[ Age]]&lt;=29,"18-29",IF(Table1[[#This Row],[ Age]]&lt;=49,"30-49",IF(Table1[[#This Row],[ Age]]&lt;=59,"50-59","60 or more"))))</f>
        <v>30-49</v>
      </c>
      <c r="AC300" s="8">
        <f ca="1">IF(ISBLANK(Table1[[#This Row],[DateofTermination]]),DATEDIF(Table1[[#This Row],[DateofHire]],TODAY(), "M"),DATEDIF(Table1[[#This Row],[DateofHire]],Table1[[#This Row],[DateofTermination]],"M"))/12</f>
        <v>7.083333333333333</v>
      </c>
      <c r="AD300" t="str">
        <f>IF(Table1[[#This Row],[EmpSatisfaction]]=1,"Very Dissatisfied", IF(Table1[[#This Row],[EmpSatisfaction]] = 2, "Dissatisfied", IF(Table1[[#This Row],[EmpSatisfaction]]  = 3, "Neutral", IF(Table1[[#This Row],[EmpSatisfaction]] = 4, "Satisfied", IF(Table1[[#This Row],[EmpSatisfaction]]=5,"Very Satisfied", " ")))))</f>
        <v>Satisfied</v>
      </c>
      <c r="AE300">
        <f>YEAR(Table1[[#This Row],[DateofHire]])</f>
        <v>2017</v>
      </c>
      <c r="AF300" t="s">
        <v>25</v>
      </c>
    </row>
    <row r="301" spans="1:32" x14ac:dyDescent="0.3">
      <c r="A301" t="s">
        <v>433</v>
      </c>
      <c r="B301">
        <v>10127</v>
      </c>
      <c r="C301" t="s">
        <v>483</v>
      </c>
      <c r="D301" t="s">
        <v>488</v>
      </c>
      <c r="E301">
        <v>10250</v>
      </c>
      <c r="F301" s="1">
        <v>42093</v>
      </c>
      <c r="G301" s="7">
        <v>107226</v>
      </c>
      <c r="H301" t="s">
        <v>499</v>
      </c>
      <c r="I301" s="1">
        <v>28612</v>
      </c>
      <c r="J301" t="s">
        <v>53</v>
      </c>
      <c r="K301" t="s">
        <v>23</v>
      </c>
      <c r="L301" t="s">
        <v>82</v>
      </c>
      <c r="M301" t="s">
        <v>21</v>
      </c>
      <c r="N301">
        <v>2453</v>
      </c>
      <c r="P301" t="s">
        <v>512</v>
      </c>
      <c r="Q301" t="s">
        <v>25</v>
      </c>
      <c r="R301" t="s">
        <v>55</v>
      </c>
      <c r="S301" t="s">
        <v>36</v>
      </c>
      <c r="T301">
        <v>4.2</v>
      </c>
      <c r="U301">
        <v>4</v>
      </c>
      <c r="V301" s="1">
        <v>43501</v>
      </c>
      <c r="W301">
        <v>7</v>
      </c>
      <c r="X301" t="str">
        <f>INDEX(Position!B:B,MATCH(Table1[[#This Row],[Position ID]],Position!A:A, 0 ))</f>
        <v>Sr. Network Engineer</v>
      </c>
      <c r="Y301" t="str">
        <f>INDEX(Department!B:B,MATCH(Table1[[#This Row],[Department ID]],Department!A:A,0))</f>
        <v>IT/IS</v>
      </c>
      <c r="Z301" t="str">
        <f>INDEX(Manager!B:B,MATCH(Table1[[#This Row],[Manger ID]],Manager!A:A,0))</f>
        <v>Peter Monroe</v>
      </c>
      <c r="AA301">
        <f ca="1">DATEDIF(Table1[[#This Row],[DOB]],TODAY(), "Y")</f>
        <v>45</v>
      </c>
      <c r="AB301" t="str">
        <f ca="1">IF(Table1[[#This Row],[ Age]]&lt;18,"Less than 18",IF(Table1[[#This Row],[ Age]]&lt;=29,"18-29",IF(Table1[[#This Row],[ Age]]&lt;=49,"30-49",IF(Table1[[#This Row],[ Age]]&lt;=59,"50-59","60 or more"))))</f>
        <v>30-49</v>
      </c>
      <c r="AC301" s="8">
        <f ca="1">IF(ISBLANK(Table1[[#This Row],[DateofTermination]]),DATEDIF(Table1[[#This Row],[DateofHire]],TODAY(), "M"),DATEDIF(Table1[[#This Row],[DateofHire]],Table1[[#This Row],[DateofTermination]],"M"))/12</f>
        <v>9</v>
      </c>
      <c r="AD301" t="str">
        <f>IF(Table1[[#This Row],[EmpSatisfaction]]=1,"Very Dissatisfied", IF(Table1[[#This Row],[EmpSatisfaction]] = 2, "Dissatisfied", IF(Table1[[#This Row],[EmpSatisfaction]]  = 3, "Neutral", IF(Table1[[#This Row],[EmpSatisfaction]] = 4, "Satisfied", IF(Table1[[#This Row],[EmpSatisfaction]]=5,"Very Satisfied", " ")))))</f>
        <v>Satisfied</v>
      </c>
      <c r="AE301">
        <f>YEAR(Table1[[#This Row],[DateofHire]])</f>
        <v>2015</v>
      </c>
      <c r="AF301" t="s">
        <v>25</v>
      </c>
    </row>
    <row r="302" spans="1:32" hidden="1" x14ac:dyDescent="0.3">
      <c r="A302" t="s">
        <v>434</v>
      </c>
      <c r="B302">
        <v>10072</v>
      </c>
      <c r="C302" t="s">
        <v>474</v>
      </c>
      <c r="D302" t="s">
        <v>489</v>
      </c>
      <c r="E302">
        <v>10069</v>
      </c>
      <c r="F302" s="1">
        <v>40553</v>
      </c>
      <c r="G302" s="7">
        <v>58371</v>
      </c>
      <c r="H302" t="s">
        <v>498</v>
      </c>
      <c r="I302" s="1">
        <v>31921</v>
      </c>
      <c r="J302" t="s">
        <v>22</v>
      </c>
      <c r="K302" t="s">
        <v>23</v>
      </c>
      <c r="L302" t="s">
        <v>24</v>
      </c>
      <c r="M302" t="s">
        <v>21</v>
      </c>
      <c r="N302">
        <v>2030</v>
      </c>
      <c r="O302" s="1">
        <v>41774</v>
      </c>
      <c r="P302" t="s">
        <v>514</v>
      </c>
      <c r="Q302" t="s">
        <v>32</v>
      </c>
      <c r="R302" t="s">
        <v>27</v>
      </c>
      <c r="S302" t="s">
        <v>36</v>
      </c>
      <c r="T302">
        <v>5</v>
      </c>
      <c r="U302">
        <v>5</v>
      </c>
      <c r="V302" s="1">
        <v>41774</v>
      </c>
      <c r="W302">
        <v>11</v>
      </c>
      <c r="X302" t="str">
        <f>INDEX(Position!B:B,MATCH(Table1[[#This Row],[Position ID]],Position!A:A, 0 ))</f>
        <v>Production Technician I</v>
      </c>
      <c r="Y302" t="str">
        <f>INDEX(Department!B:B,MATCH(Table1[[#This Row],[Department ID]],Department!A:A,0))</f>
        <v>Production</v>
      </c>
      <c r="Z302" t="str">
        <f>INDEX(Manager!B:B,MATCH(Table1[[#This Row],[Manger ID]],Manager!A:A,0))</f>
        <v>Webster Butler</v>
      </c>
      <c r="AA302">
        <f ca="1">DATEDIF(Table1[[#This Row],[DOB]],TODAY(), "Y")</f>
        <v>36</v>
      </c>
      <c r="AB302" t="str">
        <f ca="1">IF(Table1[[#This Row],[ Age]]&lt;18,"Less than 18",IF(Table1[[#This Row],[ Age]]&lt;=29,"18-29",IF(Table1[[#This Row],[ Age]]&lt;=49,"30-49",IF(Table1[[#This Row],[ Age]]&lt;=59,"50-59","60 or more"))))</f>
        <v>30-49</v>
      </c>
      <c r="AC302" s="8">
        <f ca="1">IF(ISBLANK(Table1[[#This Row],[DateofTermination]]),DATEDIF(Table1[[#This Row],[DateofHire]],TODAY(), "M"),DATEDIF(Table1[[#This Row],[DateofHire]],Table1[[#This Row],[DateofTermination]],"M"))/12</f>
        <v>3.3333333333333335</v>
      </c>
      <c r="AD302" t="str">
        <f>IF(Table1[[#This Row],[EmpSatisfaction]]=1,"Very Dissatisfied", IF(Table1[[#This Row],[EmpSatisfaction]] = 2, "Dissatisfied", IF(Table1[[#This Row],[EmpSatisfaction]]  = 3, "Neutral", IF(Table1[[#This Row],[EmpSatisfaction]] = 4, "Satisfied", IF(Table1[[#This Row],[EmpSatisfaction]]=5,"Very Satisfied", " ")))))</f>
        <v>Very Satisfied</v>
      </c>
      <c r="AE302">
        <f>YEAR(Table1[[#This Row],[DateofHire]])</f>
        <v>2011</v>
      </c>
      <c r="AF302" t="s">
        <v>535</v>
      </c>
    </row>
    <row r="303" spans="1:32" hidden="1" x14ac:dyDescent="0.3">
      <c r="A303" t="s">
        <v>435</v>
      </c>
      <c r="B303">
        <v>10048</v>
      </c>
      <c r="C303" t="s">
        <v>474</v>
      </c>
      <c r="D303" t="s">
        <v>489</v>
      </c>
      <c r="E303">
        <v>10002</v>
      </c>
      <c r="F303" s="1">
        <v>40679</v>
      </c>
      <c r="G303" s="7">
        <v>55140</v>
      </c>
      <c r="H303" t="s">
        <v>498</v>
      </c>
      <c r="I303" s="1">
        <v>23994</v>
      </c>
      <c r="J303" t="s">
        <v>31</v>
      </c>
      <c r="K303" t="s">
        <v>78</v>
      </c>
      <c r="L303" t="s">
        <v>24</v>
      </c>
      <c r="M303" t="s">
        <v>21</v>
      </c>
      <c r="N303">
        <v>2324</v>
      </c>
      <c r="O303" s="1">
        <v>42254</v>
      </c>
      <c r="P303" t="s">
        <v>517</v>
      </c>
      <c r="Q303" t="s">
        <v>32</v>
      </c>
      <c r="R303" t="s">
        <v>167</v>
      </c>
      <c r="S303" t="s">
        <v>36</v>
      </c>
      <c r="T303">
        <v>5</v>
      </c>
      <c r="U303">
        <v>3</v>
      </c>
      <c r="V303" s="1">
        <v>42050</v>
      </c>
      <c r="W303">
        <v>7</v>
      </c>
      <c r="X303" t="str">
        <f>INDEX(Position!B:B,MATCH(Table1[[#This Row],[Position ID]],Position!A:A, 0 ))</f>
        <v>Production Technician I</v>
      </c>
      <c r="Y303" t="str">
        <f>INDEX(Department!B:B,MATCH(Table1[[#This Row],[Department ID]],Department!A:A,0))</f>
        <v>Production</v>
      </c>
      <c r="Z303" t="str">
        <f>INDEX(Manager!B:B,MATCH(Table1[[#This Row],[Manger ID]],Manager!A:A,0))</f>
        <v>Amy Dunn</v>
      </c>
      <c r="AA303">
        <f ca="1">DATEDIF(Table1[[#This Row],[DOB]],TODAY(), "Y")</f>
        <v>58</v>
      </c>
      <c r="AB303" t="str">
        <f ca="1">IF(Table1[[#This Row],[ Age]]&lt;18,"Less than 18",IF(Table1[[#This Row],[ Age]]&lt;=29,"18-29",IF(Table1[[#This Row],[ Age]]&lt;=49,"30-49",IF(Table1[[#This Row],[ Age]]&lt;=59,"50-59","60 or more"))))</f>
        <v>50-59</v>
      </c>
      <c r="AC303" s="8">
        <f ca="1">IF(ISBLANK(Table1[[#This Row],[DateofTermination]]),DATEDIF(Table1[[#This Row],[DateofHire]],TODAY(), "M"),DATEDIF(Table1[[#This Row],[DateofHire]],Table1[[#This Row],[DateofTermination]],"M"))/12</f>
        <v>4.25</v>
      </c>
      <c r="AD303" t="str">
        <f>IF(Table1[[#This Row],[EmpSatisfaction]]=1,"Very Dissatisfied", IF(Table1[[#This Row],[EmpSatisfaction]] = 2, "Dissatisfied", IF(Table1[[#This Row],[EmpSatisfaction]]  = 3, "Neutral", IF(Table1[[#This Row],[EmpSatisfaction]] = 4, "Satisfied", IF(Table1[[#This Row],[EmpSatisfaction]]=5,"Very Satisfied", " ")))))</f>
        <v>Neutral</v>
      </c>
      <c r="AE303">
        <f>YEAR(Table1[[#This Row],[DateofHire]])</f>
        <v>2011</v>
      </c>
      <c r="AF303" t="s">
        <v>535</v>
      </c>
    </row>
    <row r="304" spans="1:32" hidden="1" x14ac:dyDescent="0.3">
      <c r="A304" t="s">
        <v>436</v>
      </c>
      <c r="B304">
        <v>10204</v>
      </c>
      <c r="C304" t="s">
        <v>474</v>
      </c>
      <c r="D304" t="s">
        <v>489</v>
      </c>
      <c r="E304">
        <v>10062</v>
      </c>
      <c r="F304" s="1">
        <v>40553</v>
      </c>
      <c r="G304" s="7">
        <v>58062</v>
      </c>
      <c r="H304" t="s">
        <v>499</v>
      </c>
      <c r="I304" s="1">
        <v>30527</v>
      </c>
      <c r="J304" t="s">
        <v>43</v>
      </c>
      <c r="K304" t="s">
        <v>23</v>
      </c>
      <c r="L304" t="s">
        <v>24</v>
      </c>
      <c r="M304" t="s">
        <v>21</v>
      </c>
      <c r="N304">
        <v>1876</v>
      </c>
      <c r="O304" s="1">
        <v>41043</v>
      </c>
      <c r="P304" t="s">
        <v>516</v>
      </c>
      <c r="Q304" t="s">
        <v>32</v>
      </c>
      <c r="R304" t="s">
        <v>45</v>
      </c>
      <c r="S304" t="s">
        <v>36</v>
      </c>
      <c r="T304">
        <v>3.6</v>
      </c>
      <c r="U304">
        <v>5</v>
      </c>
      <c r="V304" s="1">
        <v>40580</v>
      </c>
      <c r="W304">
        <v>9</v>
      </c>
      <c r="X304" t="str">
        <f>INDEX(Position!B:B,MATCH(Table1[[#This Row],[Position ID]],Position!A:A, 0 ))</f>
        <v>Production Technician I</v>
      </c>
      <c r="Y304" t="str">
        <f>INDEX(Department!B:B,MATCH(Table1[[#This Row],[Department ID]],Department!A:A,0))</f>
        <v>Production</v>
      </c>
      <c r="Z304" t="str">
        <f>INDEX(Manager!B:B,MATCH(Table1[[#This Row],[Manger ID]],Manager!A:A,0))</f>
        <v>Ketsia Liebig</v>
      </c>
      <c r="AA304">
        <f ca="1">DATEDIF(Table1[[#This Row],[DOB]],TODAY(), "Y")</f>
        <v>40</v>
      </c>
      <c r="AB304" t="str">
        <f ca="1">IF(Table1[[#This Row],[ Age]]&lt;18,"Less than 18",IF(Table1[[#This Row],[ Age]]&lt;=29,"18-29",IF(Table1[[#This Row],[ Age]]&lt;=49,"30-49",IF(Table1[[#This Row],[ Age]]&lt;=59,"50-59","60 or more"))))</f>
        <v>30-49</v>
      </c>
      <c r="AC304" s="8">
        <f ca="1">IF(ISBLANK(Table1[[#This Row],[DateofTermination]]),DATEDIF(Table1[[#This Row],[DateofHire]],TODAY(), "M"),DATEDIF(Table1[[#This Row],[DateofHire]],Table1[[#This Row],[DateofTermination]],"M"))/12</f>
        <v>1.3333333333333333</v>
      </c>
      <c r="AD304" t="str">
        <f>IF(Table1[[#This Row],[EmpSatisfaction]]=1,"Very Dissatisfied", IF(Table1[[#This Row],[EmpSatisfaction]] = 2, "Dissatisfied", IF(Table1[[#This Row],[EmpSatisfaction]]  = 3, "Neutral", IF(Table1[[#This Row],[EmpSatisfaction]] = 4, "Satisfied", IF(Table1[[#This Row],[EmpSatisfaction]]=5,"Very Satisfied", " ")))))</f>
        <v>Very Satisfied</v>
      </c>
      <c r="AE304">
        <f>YEAR(Table1[[#This Row],[DateofHire]])</f>
        <v>2011</v>
      </c>
      <c r="AF304" t="s">
        <v>535</v>
      </c>
    </row>
    <row r="305" spans="1:32" hidden="1" x14ac:dyDescent="0.3">
      <c r="A305" t="s">
        <v>437</v>
      </c>
      <c r="B305">
        <v>10264</v>
      </c>
      <c r="C305" t="s">
        <v>474</v>
      </c>
      <c r="D305" t="s">
        <v>489</v>
      </c>
      <c r="E305">
        <v>10062</v>
      </c>
      <c r="F305" s="1">
        <v>40917</v>
      </c>
      <c r="G305" s="7">
        <v>59728</v>
      </c>
      <c r="H305" t="s">
        <v>499</v>
      </c>
      <c r="I305" s="1">
        <v>25478</v>
      </c>
      <c r="J305" t="s">
        <v>22</v>
      </c>
      <c r="K305" t="s">
        <v>23</v>
      </c>
      <c r="L305" t="s">
        <v>57</v>
      </c>
      <c r="M305" t="s">
        <v>21</v>
      </c>
      <c r="N305">
        <v>2109</v>
      </c>
      <c r="O305" s="1">
        <v>42182</v>
      </c>
      <c r="P305" t="s">
        <v>522</v>
      </c>
      <c r="Q305" t="s">
        <v>32</v>
      </c>
      <c r="R305" t="s">
        <v>59</v>
      </c>
      <c r="S305" t="s">
        <v>36</v>
      </c>
      <c r="T305">
        <v>4.3</v>
      </c>
      <c r="U305">
        <v>4</v>
      </c>
      <c r="V305" s="1">
        <v>41792</v>
      </c>
      <c r="W305">
        <v>16</v>
      </c>
      <c r="X305" t="str">
        <f>INDEX(Position!B:B,MATCH(Table1[[#This Row],[Position ID]],Position!A:A, 0 ))</f>
        <v>Production Technician I</v>
      </c>
      <c r="Y305" t="str">
        <f>INDEX(Department!B:B,MATCH(Table1[[#This Row],[Department ID]],Department!A:A,0))</f>
        <v>Production</v>
      </c>
      <c r="Z305" t="str">
        <f>INDEX(Manager!B:B,MATCH(Table1[[#This Row],[Manger ID]],Manager!A:A,0))</f>
        <v>Ketsia Liebig</v>
      </c>
      <c r="AA305">
        <f ca="1">DATEDIF(Table1[[#This Row],[DOB]],TODAY(), "Y")</f>
        <v>54</v>
      </c>
      <c r="AB305" t="str">
        <f ca="1">IF(Table1[[#This Row],[ Age]]&lt;18,"Less than 18",IF(Table1[[#This Row],[ Age]]&lt;=29,"18-29",IF(Table1[[#This Row],[ Age]]&lt;=49,"30-49",IF(Table1[[#This Row],[ Age]]&lt;=59,"50-59","60 or more"))))</f>
        <v>50-59</v>
      </c>
      <c r="AC305" s="8">
        <f ca="1">IF(ISBLANK(Table1[[#This Row],[DateofTermination]]),DATEDIF(Table1[[#This Row],[DateofHire]],TODAY(), "M"),DATEDIF(Table1[[#This Row],[DateofHire]],Table1[[#This Row],[DateofTermination]],"M"))/12</f>
        <v>3.4166666666666665</v>
      </c>
      <c r="AD305" t="str">
        <f>IF(Table1[[#This Row],[EmpSatisfaction]]=1,"Very Dissatisfied", IF(Table1[[#This Row],[EmpSatisfaction]] = 2, "Dissatisfied", IF(Table1[[#This Row],[EmpSatisfaction]]  = 3, "Neutral", IF(Table1[[#This Row],[EmpSatisfaction]] = 4, "Satisfied", IF(Table1[[#This Row],[EmpSatisfaction]]=5,"Very Satisfied", " ")))))</f>
        <v>Satisfied</v>
      </c>
      <c r="AE305">
        <f>YEAR(Table1[[#This Row],[DateofHire]])</f>
        <v>2012</v>
      </c>
      <c r="AF305" t="s">
        <v>535</v>
      </c>
    </row>
    <row r="306" spans="1:32" hidden="1" x14ac:dyDescent="0.3">
      <c r="A306" t="s">
        <v>438</v>
      </c>
      <c r="B306">
        <v>10033</v>
      </c>
      <c r="C306" t="s">
        <v>475</v>
      </c>
      <c r="D306" t="s">
        <v>489</v>
      </c>
      <c r="E306">
        <v>10114</v>
      </c>
      <c r="F306" s="1">
        <v>41281</v>
      </c>
      <c r="G306" s="7">
        <v>70507</v>
      </c>
      <c r="H306" t="s">
        <v>498</v>
      </c>
      <c r="I306" s="1">
        <v>21496</v>
      </c>
      <c r="J306" t="s">
        <v>22</v>
      </c>
      <c r="K306" t="s">
        <v>23</v>
      </c>
      <c r="L306" t="s">
        <v>24</v>
      </c>
      <c r="M306" t="s">
        <v>21</v>
      </c>
      <c r="N306">
        <v>2045</v>
      </c>
      <c r="O306" s="1">
        <v>42421</v>
      </c>
      <c r="P306" t="s">
        <v>521</v>
      </c>
      <c r="Q306" t="s">
        <v>32</v>
      </c>
      <c r="R306" t="s">
        <v>27</v>
      </c>
      <c r="S306" t="s">
        <v>28</v>
      </c>
      <c r="T306">
        <v>5</v>
      </c>
      <c r="U306">
        <v>3</v>
      </c>
      <c r="V306" s="1">
        <v>42388</v>
      </c>
      <c r="W306">
        <v>7</v>
      </c>
      <c r="X306" t="str">
        <f>INDEX(Position!B:B,MATCH(Table1[[#This Row],[Position ID]],Position!A:A, 0 ))</f>
        <v>Production Technician II</v>
      </c>
      <c r="Y306" t="str">
        <f>INDEX(Department!B:B,MATCH(Table1[[#This Row],[Department ID]],Department!A:A,0))</f>
        <v>Production</v>
      </c>
      <c r="Z306" t="str">
        <f>INDEX(Manager!B:B,MATCH(Table1[[#This Row],[Manger ID]],Manager!A:A,0))</f>
        <v>Brannon Miller</v>
      </c>
      <c r="AA306">
        <f ca="1">DATEDIF(Table1[[#This Row],[DOB]],TODAY(), "Y")</f>
        <v>65</v>
      </c>
      <c r="AB306" t="str">
        <f ca="1">IF(Table1[[#This Row],[ Age]]&lt;18,"Less than 18",IF(Table1[[#This Row],[ Age]]&lt;=29,"18-29",IF(Table1[[#This Row],[ Age]]&lt;=49,"30-49",IF(Table1[[#This Row],[ Age]]&lt;=59,"50-59","60 or more"))))</f>
        <v>60 or more</v>
      </c>
      <c r="AC306" s="8">
        <f ca="1">IF(ISBLANK(Table1[[#This Row],[DateofTermination]]),DATEDIF(Table1[[#This Row],[DateofHire]],TODAY(), "M"),DATEDIF(Table1[[#This Row],[DateofHire]],Table1[[#This Row],[DateofTermination]],"M"))/12</f>
        <v>3.0833333333333335</v>
      </c>
      <c r="AD306" t="str">
        <f>IF(Table1[[#This Row],[EmpSatisfaction]]=1,"Very Dissatisfied", IF(Table1[[#This Row],[EmpSatisfaction]] = 2, "Dissatisfied", IF(Table1[[#This Row],[EmpSatisfaction]]  = 3, "Neutral", IF(Table1[[#This Row],[EmpSatisfaction]] = 4, "Satisfied", IF(Table1[[#This Row],[EmpSatisfaction]]=5,"Very Satisfied", " ")))))</f>
        <v>Neutral</v>
      </c>
      <c r="AE306">
        <f>YEAR(Table1[[#This Row],[DateofHire]])</f>
        <v>2013</v>
      </c>
      <c r="AF306" t="s">
        <v>535</v>
      </c>
    </row>
    <row r="307" spans="1:32" x14ac:dyDescent="0.3">
      <c r="A307" t="s">
        <v>439</v>
      </c>
      <c r="B307">
        <v>10174</v>
      </c>
      <c r="C307" t="s">
        <v>475</v>
      </c>
      <c r="D307" t="s">
        <v>489</v>
      </c>
      <c r="E307">
        <v>10252</v>
      </c>
      <c r="F307" s="1">
        <v>41911</v>
      </c>
      <c r="G307" s="7">
        <v>60446</v>
      </c>
      <c r="H307" t="s">
        <v>499</v>
      </c>
      <c r="I307" s="1">
        <v>31157</v>
      </c>
      <c r="J307" t="s">
        <v>22</v>
      </c>
      <c r="K307" t="s">
        <v>23</v>
      </c>
      <c r="L307" t="s">
        <v>24</v>
      </c>
      <c r="M307" t="s">
        <v>21</v>
      </c>
      <c r="N307">
        <v>2302</v>
      </c>
      <c r="P307" t="s">
        <v>512</v>
      </c>
      <c r="Q307" t="s">
        <v>25</v>
      </c>
      <c r="R307" t="s">
        <v>27</v>
      </c>
      <c r="S307" t="s">
        <v>36</v>
      </c>
      <c r="T307">
        <v>3.4</v>
      </c>
      <c r="U307">
        <v>4</v>
      </c>
      <c r="V307" s="1">
        <v>43517</v>
      </c>
      <c r="W307">
        <v>14</v>
      </c>
      <c r="X307" t="str">
        <f>INDEX(Position!B:B,MATCH(Table1[[#This Row],[Position ID]],Position!A:A, 0 ))</f>
        <v>Production Technician II</v>
      </c>
      <c r="Y307" t="str">
        <f>INDEX(Department!B:B,MATCH(Table1[[#This Row],[Department ID]],Department!A:A,0))</f>
        <v>Production</v>
      </c>
      <c r="Z307" t="str">
        <f>INDEX(Manager!B:B,MATCH(Table1[[#This Row],[Manger ID]],Manager!A:A,0))</f>
        <v>David Stanley</v>
      </c>
      <c r="AA307">
        <f ca="1">DATEDIF(Table1[[#This Row],[DOB]],TODAY(), "Y")</f>
        <v>38</v>
      </c>
      <c r="AB307" t="str">
        <f ca="1">IF(Table1[[#This Row],[ Age]]&lt;18,"Less than 18",IF(Table1[[#This Row],[ Age]]&lt;=29,"18-29",IF(Table1[[#This Row],[ Age]]&lt;=49,"30-49",IF(Table1[[#This Row],[ Age]]&lt;=59,"50-59","60 or more"))))</f>
        <v>30-49</v>
      </c>
      <c r="AC307" s="8">
        <f ca="1">IF(ISBLANK(Table1[[#This Row],[DateofTermination]]),DATEDIF(Table1[[#This Row],[DateofHire]],TODAY(), "M"),DATEDIF(Table1[[#This Row],[DateofHire]],Table1[[#This Row],[DateofTermination]],"M"))/12</f>
        <v>9.5</v>
      </c>
      <c r="AD307" t="str">
        <f>IF(Table1[[#This Row],[EmpSatisfaction]]=1,"Very Dissatisfied", IF(Table1[[#This Row],[EmpSatisfaction]] = 2, "Dissatisfied", IF(Table1[[#This Row],[EmpSatisfaction]]  = 3, "Neutral", IF(Table1[[#This Row],[EmpSatisfaction]] = 4, "Satisfied", IF(Table1[[#This Row],[EmpSatisfaction]]=5,"Very Satisfied", " ")))))</f>
        <v>Satisfied</v>
      </c>
      <c r="AE307">
        <f>YEAR(Table1[[#This Row],[DateofHire]])</f>
        <v>2014</v>
      </c>
      <c r="AF307" t="s">
        <v>25</v>
      </c>
    </row>
    <row r="308" spans="1:32" x14ac:dyDescent="0.3">
      <c r="A308" t="s">
        <v>440</v>
      </c>
      <c r="B308">
        <v>10135</v>
      </c>
      <c r="C308" t="s">
        <v>475</v>
      </c>
      <c r="D308" t="s">
        <v>489</v>
      </c>
      <c r="E308">
        <v>10196</v>
      </c>
      <c r="F308" s="1">
        <v>41827</v>
      </c>
      <c r="G308" s="7">
        <v>65893</v>
      </c>
      <c r="H308" t="s">
        <v>498</v>
      </c>
      <c r="I308" s="1">
        <v>31178</v>
      </c>
      <c r="J308" t="s">
        <v>22</v>
      </c>
      <c r="K308" t="s">
        <v>23</v>
      </c>
      <c r="L308" t="s">
        <v>24</v>
      </c>
      <c r="M308" t="s">
        <v>21</v>
      </c>
      <c r="N308">
        <v>1810</v>
      </c>
      <c r="P308" t="s">
        <v>512</v>
      </c>
      <c r="Q308" t="s">
        <v>25</v>
      </c>
      <c r="R308" t="s">
        <v>27</v>
      </c>
      <c r="S308" t="s">
        <v>36</v>
      </c>
      <c r="T308">
        <v>4.07</v>
      </c>
      <c r="U308">
        <v>4</v>
      </c>
      <c r="V308" s="1">
        <v>43524</v>
      </c>
      <c r="W308">
        <v>13</v>
      </c>
      <c r="X308" t="str">
        <f>INDEX(Position!B:B,MATCH(Table1[[#This Row],[Position ID]],Position!A:A, 0 ))</f>
        <v>Production Technician II</v>
      </c>
      <c r="Y308" t="str">
        <f>INDEX(Department!B:B,MATCH(Table1[[#This Row],[Department ID]],Department!A:A,0))</f>
        <v>Production</v>
      </c>
      <c r="Z308" t="str">
        <f>INDEX(Manager!B:B,MATCH(Table1[[#This Row],[Manger ID]],Manager!A:A,0))</f>
        <v>Kissy Sullivan</v>
      </c>
      <c r="AA308">
        <f ca="1">DATEDIF(Table1[[#This Row],[DOB]],TODAY(), "Y")</f>
        <v>38</v>
      </c>
      <c r="AB308" t="str">
        <f ca="1">IF(Table1[[#This Row],[ Age]]&lt;18,"Less than 18",IF(Table1[[#This Row],[ Age]]&lt;=29,"18-29",IF(Table1[[#This Row],[ Age]]&lt;=49,"30-49",IF(Table1[[#This Row],[ Age]]&lt;=59,"50-59","60 or more"))))</f>
        <v>30-49</v>
      </c>
      <c r="AC308" s="8">
        <f ca="1">IF(ISBLANK(Table1[[#This Row],[DateofTermination]]),DATEDIF(Table1[[#This Row],[DateofHire]],TODAY(), "M"),DATEDIF(Table1[[#This Row],[DateofHire]],Table1[[#This Row],[DateofTermination]],"M"))/12</f>
        <v>9.75</v>
      </c>
      <c r="AD308" t="str">
        <f>IF(Table1[[#This Row],[EmpSatisfaction]]=1,"Very Dissatisfied", IF(Table1[[#This Row],[EmpSatisfaction]] = 2, "Dissatisfied", IF(Table1[[#This Row],[EmpSatisfaction]]  = 3, "Neutral", IF(Table1[[#This Row],[EmpSatisfaction]] = 4, "Satisfied", IF(Table1[[#This Row],[EmpSatisfaction]]=5,"Very Satisfied", " ")))))</f>
        <v>Satisfied</v>
      </c>
      <c r="AE308">
        <f>YEAR(Table1[[#This Row],[DateofHire]])</f>
        <v>2014</v>
      </c>
      <c r="AF308" t="s">
        <v>25</v>
      </c>
    </row>
    <row r="309" spans="1:32" hidden="1" x14ac:dyDescent="0.3">
      <c r="A309" t="s">
        <v>441</v>
      </c>
      <c r="B309">
        <v>10301</v>
      </c>
      <c r="C309" t="s">
        <v>474</v>
      </c>
      <c r="D309" t="s">
        <v>489</v>
      </c>
      <c r="E309">
        <v>10114</v>
      </c>
      <c r="F309" s="1">
        <v>39693</v>
      </c>
      <c r="G309" s="7">
        <v>48513</v>
      </c>
      <c r="H309" t="s">
        <v>499</v>
      </c>
      <c r="I309" s="1">
        <v>30075</v>
      </c>
      <c r="J309" t="s">
        <v>22</v>
      </c>
      <c r="K309" t="s">
        <v>23</v>
      </c>
      <c r="L309" t="s">
        <v>82</v>
      </c>
      <c r="M309" t="s">
        <v>21</v>
      </c>
      <c r="N309">
        <v>2458</v>
      </c>
      <c r="O309" s="1">
        <v>42276</v>
      </c>
      <c r="P309" t="s">
        <v>516</v>
      </c>
      <c r="Q309" t="s">
        <v>32</v>
      </c>
      <c r="R309" t="s">
        <v>45</v>
      </c>
      <c r="S309" t="s">
        <v>158</v>
      </c>
      <c r="T309">
        <v>3.2</v>
      </c>
      <c r="U309">
        <v>2</v>
      </c>
      <c r="V309" s="1">
        <v>42249</v>
      </c>
      <c r="W309">
        <v>4</v>
      </c>
      <c r="X309" t="str">
        <f>INDEX(Position!B:B,MATCH(Table1[[#This Row],[Position ID]],Position!A:A, 0 ))</f>
        <v>Production Technician I</v>
      </c>
      <c r="Y309" t="str">
        <f>INDEX(Department!B:B,MATCH(Table1[[#This Row],[Department ID]],Department!A:A,0))</f>
        <v>Production</v>
      </c>
      <c r="Z309" t="str">
        <f>INDEX(Manager!B:B,MATCH(Table1[[#This Row],[Manger ID]],Manager!A:A,0))</f>
        <v>Brannon Miller</v>
      </c>
      <c r="AA309">
        <f ca="1">DATEDIF(Table1[[#This Row],[DOB]],TODAY(), "Y")</f>
        <v>41</v>
      </c>
      <c r="AB309" t="str">
        <f ca="1">IF(Table1[[#This Row],[ Age]]&lt;18,"Less than 18",IF(Table1[[#This Row],[ Age]]&lt;=29,"18-29",IF(Table1[[#This Row],[ Age]]&lt;=49,"30-49",IF(Table1[[#This Row],[ Age]]&lt;=59,"50-59","60 or more"))))</f>
        <v>30-49</v>
      </c>
      <c r="AC309" s="8">
        <f ca="1">IF(ISBLANK(Table1[[#This Row],[DateofTermination]]),DATEDIF(Table1[[#This Row],[DateofHire]],TODAY(), "M"),DATEDIF(Table1[[#This Row],[DateofHire]],Table1[[#This Row],[DateofTermination]],"M"))/12</f>
        <v>7</v>
      </c>
      <c r="AD309" t="str">
        <f>IF(Table1[[#This Row],[EmpSatisfaction]]=1,"Very Dissatisfied", IF(Table1[[#This Row],[EmpSatisfaction]] = 2, "Dissatisfied", IF(Table1[[#This Row],[EmpSatisfaction]]  = 3, "Neutral", IF(Table1[[#This Row],[EmpSatisfaction]] = 4, "Satisfied", IF(Table1[[#This Row],[EmpSatisfaction]]=5,"Very Satisfied", " ")))))</f>
        <v>Dissatisfied</v>
      </c>
      <c r="AE309">
        <f>YEAR(Table1[[#This Row],[DateofHire]])</f>
        <v>2008</v>
      </c>
      <c r="AF309" t="s">
        <v>535</v>
      </c>
    </row>
    <row r="310" spans="1:32" x14ac:dyDescent="0.3">
      <c r="A310" t="s">
        <v>442</v>
      </c>
      <c r="B310">
        <v>10010</v>
      </c>
      <c r="C310" t="s">
        <v>457</v>
      </c>
      <c r="D310" t="s">
        <v>488</v>
      </c>
      <c r="E310">
        <v>10175</v>
      </c>
      <c r="F310" s="1">
        <v>40278</v>
      </c>
      <c r="G310" s="7">
        <v>220450</v>
      </c>
      <c r="H310" t="s">
        <v>499</v>
      </c>
      <c r="I310" s="1">
        <v>29097</v>
      </c>
      <c r="J310" t="s">
        <v>22</v>
      </c>
      <c r="K310" t="s">
        <v>23</v>
      </c>
      <c r="L310" t="s">
        <v>24</v>
      </c>
      <c r="M310" t="s">
        <v>21</v>
      </c>
      <c r="N310">
        <v>2067</v>
      </c>
      <c r="P310" t="s">
        <v>512</v>
      </c>
      <c r="Q310" t="s">
        <v>25</v>
      </c>
      <c r="R310" t="s">
        <v>55</v>
      </c>
      <c r="S310" t="s">
        <v>28</v>
      </c>
      <c r="T310">
        <v>4.5999999999999996</v>
      </c>
      <c r="U310">
        <v>5</v>
      </c>
      <c r="V310" s="1">
        <v>43517</v>
      </c>
      <c r="W310">
        <v>16</v>
      </c>
      <c r="X310" t="str">
        <f>INDEX(Position!B:B,MATCH(Table1[[#This Row],[Position ID]],Position!A:A, 0 ))</f>
        <v>CIO</v>
      </c>
      <c r="Y310" t="str">
        <f>INDEX(Department!B:B,MATCH(Table1[[#This Row],[Department ID]],Department!A:A,0))</f>
        <v>IT/IS</v>
      </c>
      <c r="Z310" t="str">
        <f>INDEX(Manager!B:B,MATCH(Table1[[#This Row],[Manger ID]],Manager!A:A,0))</f>
        <v>Janet King</v>
      </c>
      <c r="AA310">
        <f ca="1">DATEDIF(Table1[[#This Row],[DOB]],TODAY(), "Y")</f>
        <v>44</v>
      </c>
      <c r="AB310" t="str">
        <f ca="1">IF(Table1[[#This Row],[ Age]]&lt;18,"Less than 18",IF(Table1[[#This Row],[ Age]]&lt;=29,"18-29",IF(Table1[[#This Row],[ Age]]&lt;=49,"30-49",IF(Table1[[#This Row],[ Age]]&lt;=59,"50-59","60 or more"))))</f>
        <v>30-49</v>
      </c>
      <c r="AC310" s="8">
        <f ca="1">IF(ISBLANK(Table1[[#This Row],[DateofTermination]]),DATEDIF(Table1[[#This Row],[DateofHire]],TODAY(), "M"),DATEDIF(Table1[[#This Row],[DateofHire]],Table1[[#This Row],[DateofTermination]],"M"))/12</f>
        <v>13.916666666666666</v>
      </c>
      <c r="AD310" t="str">
        <f>IF(Table1[[#This Row],[EmpSatisfaction]]=1,"Very Dissatisfied", IF(Table1[[#This Row],[EmpSatisfaction]] = 2, "Dissatisfied", IF(Table1[[#This Row],[EmpSatisfaction]]  = 3, "Neutral", IF(Table1[[#This Row],[EmpSatisfaction]] = 4, "Satisfied", IF(Table1[[#This Row],[EmpSatisfaction]]=5,"Very Satisfied", " ")))))</f>
        <v>Very Satisfied</v>
      </c>
      <c r="AE310">
        <f>YEAR(Table1[[#This Row],[DateofHire]])</f>
        <v>2010</v>
      </c>
      <c r="AF310" t="s">
        <v>25</v>
      </c>
    </row>
    <row r="311" spans="1:32" x14ac:dyDescent="0.3">
      <c r="A311" t="s">
        <v>444</v>
      </c>
      <c r="B311">
        <v>10043</v>
      </c>
      <c r="C311" t="s">
        <v>458</v>
      </c>
      <c r="D311" t="s">
        <v>488</v>
      </c>
      <c r="E311">
        <v>10084</v>
      </c>
      <c r="F311" s="1">
        <v>42093</v>
      </c>
      <c r="G311" s="7">
        <v>89292</v>
      </c>
      <c r="H311" t="s">
        <v>499</v>
      </c>
      <c r="I311" s="1">
        <v>28910</v>
      </c>
      <c r="J311" t="s">
        <v>22</v>
      </c>
      <c r="K311" t="s">
        <v>23</v>
      </c>
      <c r="L311" t="s">
        <v>24</v>
      </c>
      <c r="M311" t="s">
        <v>21</v>
      </c>
      <c r="N311">
        <v>2148</v>
      </c>
      <c r="P311" t="s">
        <v>512</v>
      </c>
      <c r="Q311" t="s">
        <v>25</v>
      </c>
      <c r="R311" t="s">
        <v>55</v>
      </c>
      <c r="S311" t="s">
        <v>36</v>
      </c>
      <c r="T311">
        <v>5</v>
      </c>
      <c r="U311">
        <v>3</v>
      </c>
      <c r="V311" s="1">
        <v>43497</v>
      </c>
      <c r="W311">
        <v>11</v>
      </c>
      <c r="X311" t="str">
        <f>INDEX(Position!B:B,MATCH(Table1[[#This Row],[Position ID]],Position!A:A, 0 ))</f>
        <v>Data Analyst</v>
      </c>
      <c r="Y311" t="str">
        <f>INDEX(Department!B:B,MATCH(Table1[[#This Row],[Department ID]],Department!A:A,0))</f>
        <v>IT/IS</v>
      </c>
      <c r="Z311" t="str">
        <f>INDEX(Manager!B:B,MATCH(Table1[[#This Row],[Manger ID]],Manager!A:A,0))</f>
        <v>Simon Roup</v>
      </c>
      <c r="AA311">
        <f ca="1">DATEDIF(Table1[[#This Row],[DOB]],TODAY(), "Y")</f>
        <v>45</v>
      </c>
      <c r="AB311" t="str">
        <f ca="1">IF(Table1[[#This Row],[ Age]]&lt;18,"Less than 18",IF(Table1[[#This Row],[ Age]]&lt;=29,"18-29",IF(Table1[[#This Row],[ Age]]&lt;=49,"30-49",IF(Table1[[#This Row],[ Age]]&lt;=59,"50-59","60 or more"))))</f>
        <v>30-49</v>
      </c>
      <c r="AC311" s="8">
        <f ca="1">IF(ISBLANK(Table1[[#This Row],[DateofTermination]]),DATEDIF(Table1[[#This Row],[DateofHire]],TODAY(), "M"),DATEDIF(Table1[[#This Row],[DateofHire]],Table1[[#This Row],[DateofTermination]],"M"))/12</f>
        <v>9</v>
      </c>
      <c r="AD311" t="str">
        <f>IF(Table1[[#This Row],[EmpSatisfaction]]=1,"Very Dissatisfied", IF(Table1[[#This Row],[EmpSatisfaction]] = 2, "Dissatisfied", IF(Table1[[#This Row],[EmpSatisfaction]]  = 3, "Neutral", IF(Table1[[#This Row],[EmpSatisfaction]] = 4, "Satisfied", IF(Table1[[#This Row],[EmpSatisfaction]]=5,"Very Satisfied", " ")))))</f>
        <v>Neutral</v>
      </c>
      <c r="AE311">
        <f>YEAR(Table1[[#This Row],[DateofHire]])</f>
        <v>2015</v>
      </c>
      <c r="AF311" t="s">
        <v>25</v>
      </c>
    </row>
    <row r="312" spans="1:32" x14ac:dyDescent="0.3">
      <c r="A312" t="s">
        <v>445</v>
      </c>
      <c r="B312">
        <v>10271</v>
      </c>
      <c r="C312" t="s">
        <v>474</v>
      </c>
      <c r="D312" t="s">
        <v>489</v>
      </c>
      <c r="E312">
        <v>10252</v>
      </c>
      <c r="F312" s="1">
        <v>41911</v>
      </c>
      <c r="G312" s="7">
        <v>45046</v>
      </c>
      <c r="H312" t="s">
        <v>499</v>
      </c>
      <c r="I312" s="1">
        <v>28719</v>
      </c>
      <c r="J312" t="s">
        <v>53</v>
      </c>
      <c r="K312" t="s">
        <v>23</v>
      </c>
      <c r="L312" t="s">
        <v>82</v>
      </c>
      <c r="M312" t="s">
        <v>21</v>
      </c>
      <c r="N312">
        <v>1730</v>
      </c>
      <c r="P312" t="s">
        <v>512</v>
      </c>
      <c r="Q312" t="s">
        <v>25</v>
      </c>
      <c r="R312" t="s">
        <v>27</v>
      </c>
      <c r="S312" t="s">
        <v>36</v>
      </c>
      <c r="T312">
        <v>4.5</v>
      </c>
      <c r="U312">
        <v>5</v>
      </c>
      <c r="V312" s="1">
        <v>43495</v>
      </c>
      <c r="W312">
        <v>2</v>
      </c>
      <c r="X312" t="str">
        <f>INDEX(Position!B:B,MATCH(Table1[[#This Row],[Position ID]],Position!A:A, 0 ))</f>
        <v>Production Technician I</v>
      </c>
      <c r="Y312" t="str">
        <f>INDEX(Department!B:B,MATCH(Table1[[#This Row],[Department ID]],Department!A:A,0))</f>
        <v>Production</v>
      </c>
      <c r="Z312" t="str">
        <f>INDEX(Manager!B:B,MATCH(Table1[[#This Row],[Manger ID]],Manager!A:A,0))</f>
        <v>David Stanley</v>
      </c>
      <c r="AA312">
        <f ca="1">DATEDIF(Table1[[#This Row],[DOB]],TODAY(), "Y")</f>
        <v>45</v>
      </c>
      <c r="AB312" t="str">
        <f ca="1">IF(Table1[[#This Row],[ Age]]&lt;18,"Less than 18",IF(Table1[[#This Row],[ Age]]&lt;=29,"18-29",IF(Table1[[#This Row],[ Age]]&lt;=49,"30-49",IF(Table1[[#This Row],[ Age]]&lt;=59,"50-59","60 or more"))))</f>
        <v>30-49</v>
      </c>
      <c r="AC312" s="8">
        <f ca="1">IF(ISBLANK(Table1[[#This Row],[DateofTermination]]),DATEDIF(Table1[[#This Row],[DateofHire]],TODAY(), "M"),DATEDIF(Table1[[#This Row],[DateofHire]],Table1[[#This Row],[DateofTermination]],"M"))/12</f>
        <v>9.5</v>
      </c>
      <c r="AD312" t="str">
        <f>IF(Table1[[#This Row],[EmpSatisfaction]]=1,"Very Dissatisfied", IF(Table1[[#This Row],[EmpSatisfaction]] = 2, "Dissatisfied", IF(Table1[[#This Row],[EmpSatisfaction]]  = 3, "Neutral", IF(Table1[[#This Row],[EmpSatisfaction]] = 4, "Satisfied", IF(Table1[[#This Row],[EmpSatisfaction]]=5,"Very Satisfied", " ")))))</f>
        <v>Very Satisfied</v>
      </c>
      <c r="AE312">
        <f>YEAR(Table1[[#This Row],[DateofHire]])</f>
        <v>2014</v>
      </c>
      <c r="AF312" t="s">
        <v>25</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97EC8-B058-42ED-B644-FEBA2CA2BF43}">
  <sheetPr codeName="Sheet5">
    <tabColor theme="5" tint="0.79998168889431442"/>
  </sheetPr>
  <dimension ref="A1:B35"/>
  <sheetViews>
    <sheetView workbookViewId="0">
      <selection activeCell="AL9" sqref="AL9"/>
    </sheetView>
  </sheetViews>
  <sheetFormatPr defaultRowHeight="14.4" x14ac:dyDescent="0.3"/>
  <cols>
    <col min="1" max="1" width="13.109375" customWidth="1"/>
    <col min="2" max="2" width="44.88671875" customWidth="1"/>
  </cols>
  <sheetData>
    <row r="1" spans="1:2" x14ac:dyDescent="0.3">
      <c r="A1" t="s">
        <v>1</v>
      </c>
    </row>
    <row r="3" spans="1:2" x14ac:dyDescent="0.3">
      <c r="A3" t="s">
        <v>451</v>
      </c>
      <c r="B3" t="s">
        <v>1</v>
      </c>
    </row>
    <row r="4" spans="1:2" x14ac:dyDescent="0.3">
      <c r="A4" t="s">
        <v>452</v>
      </c>
      <c r="B4" t="s">
        <v>102</v>
      </c>
    </row>
    <row r="5" spans="1:2" x14ac:dyDescent="0.3">
      <c r="A5" t="s">
        <v>453</v>
      </c>
      <c r="B5" t="s">
        <v>241</v>
      </c>
    </row>
    <row r="6" spans="1:2" x14ac:dyDescent="0.3">
      <c r="A6" t="s">
        <v>454</v>
      </c>
      <c r="B6" t="s">
        <v>107</v>
      </c>
    </row>
    <row r="7" spans="1:2" x14ac:dyDescent="0.3">
      <c r="A7" t="s">
        <v>455</v>
      </c>
      <c r="B7" t="s">
        <v>162</v>
      </c>
    </row>
    <row r="8" spans="1:2" x14ac:dyDescent="0.3">
      <c r="A8" t="s">
        <v>456</v>
      </c>
      <c r="B8" t="s">
        <v>124</v>
      </c>
    </row>
    <row r="9" spans="1:2" x14ac:dyDescent="0.3">
      <c r="A9" t="s">
        <v>457</v>
      </c>
      <c r="B9" t="s">
        <v>443</v>
      </c>
    </row>
    <row r="10" spans="1:2" x14ac:dyDescent="0.3">
      <c r="A10" t="s">
        <v>458</v>
      </c>
      <c r="B10" t="s">
        <v>67</v>
      </c>
    </row>
    <row r="11" spans="1:2" x14ac:dyDescent="0.3">
      <c r="A11" t="s">
        <v>459</v>
      </c>
      <c r="B11" t="s">
        <v>377</v>
      </c>
    </row>
    <row r="12" spans="1:2" x14ac:dyDescent="0.3">
      <c r="A12" t="s">
        <v>460</v>
      </c>
      <c r="B12" t="s">
        <v>366</v>
      </c>
    </row>
    <row r="13" spans="1:2" x14ac:dyDescent="0.3">
      <c r="A13" t="s">
        <v>461</v>
      </c>
      <c r="B13" t="s">
        <v>80</v>
      </c>
    </row>
    <row r="14" spans="1:2" x14ac:dyDescent="0.3">
      <c r="A14" t="s">
        <v>462</v>
      </c>
      <c r="B14" t="s">
        <v>141</v>
      </c>
    </row>
    <row r="15" spans="1:2" x14ac:dyDescent="0.3">
      <c r="A15" t="s">
        <v>463</v>
      </c>
      <c r="B15" t="s">
        <v>238</v>
      </c>
    </row>
    <row r="16" spans="1:2" x14ac:dyDescent="0.3">
      <c r="A16" t="s">
        <v>464</v>
      </c>
      <c r="B16" t="s">
        <v>91</v>
      </c>
    </row>
    <row r="17" spans="1:2" x14ac:dyDescent="0.3">
      <c r="A17" t="s">
        <v>465</v>
      </c>
      <c r="B17" t="s">
        <v>195</v>
      </c>
    </row>
    <row r="18" spans="1:2" x14ac:dyDescent="0.3">
      <c r="A18" t="s">
        <v>466</v>
      </c>
      <c r="B18" t="s">
        <v>370</v>
      </c>
    </row>
    <row r="19" spans="1:2" x14ac:dyDescent="0.3">
      <c r="A19" t="s">
        <v>467</v>
      </c>
      <c r="B19" t="s">
        <v>309</v>
      </c>
    </row>
    <row r="20" spans="1:2" x14ac:dyDescent="0.3">
      <c r="A20" t="s">
        <v>468</v>
      </c>
      <c r="B20" t="s">
        <v>172</v>
      </c>
    </row>
    <row r="21" spans="1:2" x14ac:dyDescent="0.3">
      <c r="A21" t="s">
        <v>469</v>
      </c>
      <c r="B21" t="s">
        <v>61</v>
      </c>
    </row>
    <row r="22" spans="1:2" x14ac:dyDescent="0.3">
      <c r="A22" t="s">
        <v>470</v>
      </c>
      <c r="B22" t="s">
        <v>189</v>
      </c>
    </row>
    <row r="23" spans="1:2" x14ac:dyDescent="0.3">
      <c r="A23" t="s">
        <v>471</v>
      </c>
      <c r="B23" t="s">
        <v>262</v>
      </c>
    </row>
    <row r="24" spans="1:2" x14ac:dyDescent="0.3">
      <c r="A24" t="s">
        <v>472</v>
      </c>
      <c r="B24" t="s">
        <v>364</v>
      </c>
    </row>
    <row r="25" spans="1:2" x14ac:dyDescent="0.3">
      <c r="A25" t="s">
        <v>473</v>
      </c>
      <c r="B25" t="s">
        <v>98</v>
      </c>
    </row>
    <row r="26" spans="1:2" x14ac:dyDescent="0.3">
      <c r="A26" t="s">
        <v>474</v>
      </c>
      <c r="B26" t="s">
        <v>20</v>
      </c>
    </row>
    <row r="27" spans="1:2" x14ac:dyDescent="0.3">
      <c r="A27" t="s">
        <v>475</v>
      </c>
      <c r="B27" t="s">
        <v>38</v>
      </c>
    </row>
    <row r="28" spans="1:2" x14ac:dyDescent="0.3">
      <c r="A28" t="s">
        <v>476</v>
      </c>
      <c r="B28" t="s">
        <v>148</v>
      </c>
    </row>
    <row r="29" spans="1:2" x14ac:dyDescent="0.3">
      <c r="A29" t="s">
        <v>477</v>
      </c>
      <c r="B29" t="s">
        <v>277</v>
      </c>
    </row>
    <row r="30" spans="1:2" x14ac:dyDescent="0.3">
      <c r="A30" t="s">
        <v>478</v>
      </c>
      <c r="B30" t="s">
        <v>280</v>
      </c>
    </row>
    <row r="31" spans="1:2" x14ac:dyDescent="0.3">
      <c r="A31" t="s">
        <v>479</v>
      </c>
      <c r="B31" t="s">
        <v>49</v>
      </c>
    </row>
    <row r="32" spans="1:2" x14ac:dyDescent="0.3">
      <c r="A32" t="s">
        <v>480</v>
      </c>
      <c r="B32" t="s">
        <v>114</v>
      </c>
    </row>
    <row r="33" spans="1:2" x14ac:dyDescent="0.3">
      <c r="A33" t="s">
        <v>481</v>
      </c>
      <c r="B33" t="s">
        <v>94</v>
      </c>
    </row>
    <row r="34" spans="1:2" x14ac:dyDescent="0.3">
      <c r="A34" t="s">
        <v>482</v>
      </c>
      <c r="B34" t="s">
        <v>30</v>
      </c>
    </row>
    <row r="35" spans="1:2" x14ac:dyDescent="0.3">
      <c r="A35" t="s">
        <v>483</v>
      </c>
      <c r="B35" t="s">
        <v>146</v>
      </c>
    </row>
  </sheetData>
  <sortState xmlns:xlrd2="http://schemas.microsoft.com/office/spreadsheetml/2017/richdata2" ref="B4:B35">
    <sortCondition ref="B4:B35"/>
  </sortState>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CE9A5-A9EA-439A-A905-C726304AB92F}">
  <sheetPr codeName="Sheet6">
    <tabColor theme="5" tint="0.79998168889431442"/>
  </sheetPr>
  <dimension ref="A1:B9"/>
  <sheetViews>
    <sheetView workbookViewId="0">
      <selection activeCell="AL9" sqref="AL9"/>
    </sheetView>
  </sheetViews>
  <sheetFormatPr defaultRowHeight="14.4" x14ac:dyDescent="0.3"/>
  <cols>
    <col min="1" max="1" width="15.44140625" customWidth="1"/>
    <col min="2" max="2" width="29.6640625" customWidth="1"/>
  </cols>
  <sheetData>
    <row r="1" spans="1:2" x14ac:dyDescent="0.3">
      <c r="A1" t="s">
        <v>484</v>
      </c>
    </row>
    <row r="3" spans="1:2" x14ac:dyDescent="0.3">
      <c r="A3" t="s">
        <v>485</v>
      </c>
      <c r="B3" t="s">
        <v>13</v>
      </c>
    </row>
    <row r="4" spans="1:2" x14ac:dyDescent="0.3">
      <c r="A4" t="s">
        <v>486</v>
      </c>
      <c r="B4" t="s">
        <v>95</v>
      </c>
    </row>
    <row r="5" spans="1:2" x14ac:dyDescent="0.3">
      <c r="A5" t="s">
        <v>487</v>
      </c>
      <c r="B5" t="s">
        <v>263</v>
      </c>
    </row>
    <row r="6" spans="1:2" x14ac:dyDescent="0.3">
      <c r="A6" t="s">
        <v>488</v>
      </c>
      <c r="B6" t="s">
        <v>33</v>
      </c>
    </row>
    <row r="7" spans="1:2" x14ac:dyDescent="0.3">
      <c r="A7" t="s">
        <v>489</v>
      </c>
      <c r="B7" t="s">
        <v>533</v>
      </c>
    </row>
    <row r="8" spans="1:2" x14ac:dyDescent="0.3">
      <c r="A8" t="s">
        <v>490</v>
      </c>
      <c r="B8" t="s">
        <v>109</v>
      </c>
    </row>
    <row r="9" spans="1:2" x14ac:dyDescent="0.3">
      <c r="A9" t="s">
        <v>491</v>
      </c>
      <c r="B9" t="s">
        <v>50</v>
      </c>
    </row>
  </sheetData>
  <sortState xmlns:xlrd2="http://schemas.microsoft.com/office/spreadsheetml/2017/richdata2" ref="B7:B317">
    <sortCondition ref="B1:B317"/>
  </sortState>
  <phoneticPr fontId="1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D4335-7160-4C53-A95C-95F19E867B22}">
  <sheetPr codeName="Sheet7">
    <tabColor theme="5" tint="0.79998168889431442"/>
  </sheetPr>
  <dimension ref="A1:D43"/>
  <sheetViews>
    <sheetView workbookViewId="0">
      <selection activeCell="AL9" sqref="AL9"/>
    </sheetView>
  </sheetViews>
  <sheetFormatPr defaultRowHeight="14.4" x14ac:dyDescent="0.3"/>
  <cols>
    <col min="1" max="1" width="13.33203125" customWidth="1"/>
    <col min="2" max="2" width="21.6640625" customWidth="1"/>
    <col min="3" max="3" width="13.88671875" customWidth="1"/>
  </cols>
  <sheetData>
    <row r="1" spans="1:2" x14ac:dyDescent="0.3">
      <c r="A1" t="s">
        <v>448</v>
      </c>
    </row>
    <row r="3" spans="1:2" x14ac:dyDescent="0.3">
      <c r="A3" t="s">
        <v>492</v>
      </c>
      <c r="B3" t="s">
        <v>448</v>
      </c>
    </row>
    <row r="4" spans="1:2" x14ac:dyDescent="0.3">
      <c r="A4">
        <v>10026</v>
      </c>
      <c r="B4" t="s">
        <v>26</v>
      </c>
    </row>
    <row r="5" spans="1:2" x14ac:dyDescent="0.3">
      <c r="A5">
        <v>10084</v>
      </c>
      <c r="B5" t="s">
        <v>34</v>
      </c>
    </row>
    <row r="6" spans="1:2" x14ac:dyDescent="0.3">
      <c r="A6">
        <v>10196</v>
      </c>
      <c r="B6" t="s">
        <v>39</v>
      </c>
    </row>
    <row r="7" spans="1:2" x14ac:dyDescent="0.3">
      <c r="A7">
        <v>10088</v>
      </c>
      <c r="B7" t="s">
        <v>41</v>
      </c>
    </row>
    <row r="8" spans="1:2" x14ac:dyDescent="0.3">
      <c r="A8">
        <v>10069</v>
      </c>
      <c r="B8" t="s">
        <v>44</v>
      </c>
    </row>
    <row r="9" spans="1:2" x14ac:dyDescent="0.3">
      <c r="A9">
        <v>10002</v>
      </c>
      <c r="B9" t="s">
        <v>47</v>
      </c>
    </row>
    <row r="10" spans="1:2" x14ac:dyDescent="0.3">
      <c r="A10">
        <v>10194</v>
      </c>
      <c r="B10" t="s">
        <v>51</v>
      </c>
    </row>
    <row r="11" spans="1:2" x14ac:dyDescent="0.3">
      <c r="A11">
        <v>10062</v>
      </c>
      <c r="B11" t="s">
        <v>54</v>
      </c>
    </row>
    <row r="12" spans="1:2" x14ac:dyDescent="0.3">
      <c r="A12">
        <v>10114</v>
      </c>
      <c r="B12" t="s">
        <v>58</v>
      </c>
    </row>
    <row r="13" spans="1:2" x14ac:dyDescent="0.3">
      <c r="A13">
        <v>10250</v>
      </c>
      <c r="B13" t="s">
        <v>62</v>
      </c>
    </row>
    <row r="14" spans="1:2" x14ac:dyDescent="0.3">
      <c r="A14">
        <v>10252</v>
      </c>
      <c r="B14" t="s">
        <v>64</v>
      </c>
    </row>
    <row r="15" spans="1:2" x14ac:dyDescent="0.3">
      <c r="A15">
        <v>10265</v>
      </c>
      <c r="B15" t="s">
        <v>71</v>
      </c>
    </row>
    <row r="16" spans="1:2" x14ac:dyDescent="0.3">
      <c r="A16">
        <v>10026</v>
      </c>
      <c r="B16" t="s">
        <v>26</v>
      </c>
    </row>
    <row r="17" spans="1:2" x14ac:dyDescent="0.3">
      <c r="A17">
        <v>10081</v>
      </c>
      <c r="B17" t="s">
        <v>96</v>
      </c>
    </row>
    <row r="18" spans="1:2" x14ac:dyDescent="0.3">
      <c r="A18">
        <v>10175</v>
      </c>
      <c r="B18" t="s">
        <v>99</v>
      </c>
    </row>
    <row r="19" spans="1:2" x14ac:dyDescent="0.3">
      <c r="A19">
        <v>10188</v>
      </c>
      <c r="B19" t="s">
        <v>110</v>
      </c>
    </row>
    <row r="20" spans="1:2" x14ac:dyDescent="0.3">
      <c r="A20">
        <v>10150</v>
      </c>
      <c r="B20" t="s">
        <v>115</v>
      </c>
    </row>
    <row r="21" spans="1:2" x14ac:dyDescent="0.3">
      <c r="A21">
        <v>10200</v>
      </c>
      <c r="B21" t="s">
        <v>128</v>
      </c>
    </row>
    <row r="22" spans="1:2" x14ac:dyDescent="0.3">
      <c r="A22">
        <v>10220</v>
      </c>
      <c r="B22" t="s">
        <v>133</v>
      </c>
    </row>
    <row r="23" spans="1:2" x14ac:dyDescent="0.3">
      <c r="A23">
        <v>10099</v>
      </c>
      <c r="B23" t="s">
        <v>149</v>
      </c>
    </row>
    <row r="24" spans="1:2" x14ac:dyDescent="0.3">
      <c r="A24">
        <v>10197</v>
      </c>
      <c r="B24" t="s">
        <v>163</v>
      </c>
    </row>
    <row r="25" spans="1:2" x14ac:dyDescent="0.3">
      <c r="A25">
        <v>10080</v>
      </c>
      <c r="B25" t="s">
        <v>197</v>
      </c>
    </row>
    <row r="43" spans="4:4" x14ac:dyDescent="0.3">
      <c r="D43" t="s">
        <v>497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A5"/>
  <sheetViews>
    <sheetView workbookViewId="0">
      <selection activeCell="B11" sqref="B11"/>
    </sheetView>
  </sheetViews>
  <sheetFormatPr defaultRowHeight="14.4" x14ac:dyDescent="0.3"/>
  <sheetData>
    <row r="1" spans="1:1" x14ac:dyDescent="0.3">
      <c r="A1" t="s">
        <v>446</v>
      </c>
    </row>
    <row r="2" spans="1:1" x14ac:dyDescent="0.3">
      <c r="A2" s="2" t="s">
        <v>447</v>
      </c>
    </row>
    <row r="4" spans="1:1" x14ac:dyDescent="0.3">
      <c r="A4" t="s">
        <v>495</v>
      </c>
    </row>
    <row r="5" spans="1:1" x14ac:dyDescent="0.3">
      <c r="A5" t="s">
        <v>496</v>
      </c>
    </row>
  </sheetData>
  <hyperlinks>
    <hyperlink ref="A2" r:id="rId1" xr:uid="{00000000-0004-0000-01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Analysis</vt:lpstr>
      <vt:lpstr>HR Data</vt:lpstr>
      <vt:lpstr>Position</vt:lpstr>
      <vt:lpstr>Department</vt:lpstr>
      <vt:lpstr>Manager</vt:lpstr>
      <vt:lpstr>Source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Abs</dc:creator>
  <cp:lastModifiedBy>Christian Espinosa</cp:lastModifiedBy>
  <cp:lastPrinted>2024-04-05T08:04:05Z</cp:lastPrinted>
  <dcterms:created xsi:type="dcterms:W3CDTF">2022-10-02T20:52:34Z</dcterms:created>
  <dcterms:modified xsi:type="dcterms:W3CDTF">2024-04-09T08:10:22Z</dcterms:modified>
</cp:coreProperties>
</file>